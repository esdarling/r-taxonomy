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darling/Documents/GitHub/r-taxonomy/r-material-examined/data/"/>
    </mc:Choice>
  </mc:AlternateContent>
  <xr:revisionPtr revIDLastSave="0" documentId="13_ncr:1_{8147C38F-B763-9A43-845E-CC23532DE819}" xr6:coauthVersionLast="47" xr6:coauthVersionMax="47" xr10:uidLastSave="{00000000-0000-0000-0000-000000000000}"/>
  <bookViews>
    <workbookView xWindow="1200" yWindow="4060" windowWidth="29040" windowHeight="15720" xr2:uid="{80D72645-C7FD-4BA4-9675-72D01261A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<sst xmlns="http://schemas.openxmlformats.org/spreadsheetml/2006/main" count="913" uniqueCount="433">
  <si>
    <t>sort</t>
  </si>
  <si>
    <t>n</t>
  </si>
  <si>
    <r>
      <t xml:space="preserve">Misc </t>
    </r>
    <r>
      <rPr>
        <sz val="11"/>
        <color rgb="FFFF0000"/>
        <rFont val="Aptos Narrow"/>
        <scheme val="minor"/>
      </rPr>
      <t>- non-TMS field for DCD to make notes to self</t>
    </r>
  </si>
  <si>
    <t>DCD - CW_CH plati cpx; 0, ocular measurements</t>
  </si>
  <si>
    <r>
      <rPr>
        <sz val="11"/>
        <color rgb="FF000000"/>
        <rFont val="Aptos Narrow"/>
        <scheme val="minor"/>
      </rPr>
      <t xml:space="preserve">Cataloguer Remarks
</t>
    </r>
    <r>
      <rPr>
        <sz val="11"/>
        <color rgb="FFFF0000"/>
        <rFont val="Aptos Narrow"/>
        <scheme val="minor"/>
      </rPr>
      <t>Red records have DCD edit or queries</t>
    </r>
  </si>
  <si>
    <t>Object Number</t>
  </si>
  <si>
    <t>ROME#</t>
  </si>
  <si>
    <t>Labelled?</t>
  </si>
  <si>
    <t>Imaged, yellow nice images</t>
  </si>
  <si>
    <t>BOLD Process ID</t>
  </si>
  <si>
    <t>CDROM COI Unbold</t>
  </si>
  <si>
    <t>BIN Number/COI</t>
  </si>
  <si>
    <t>Specific Epithet</t>
  </si>
  <si>
    <t>Temporary Name</t>
  </si>
  <si>
    <t>DCD only: AXL l/w</t>
  </si>
  <si>
    <t>DCD only: Male PL/SL</t>
  </si>
  <si>
    <t>Type/AME</t>
  </si>
  <si>
    <t>AME Notes</t>
  </si>
  <si>
    <t>Sex</t>
  </si>
  <si>
    <t>Repository</t>
  </si>
  <si>
    <r>
      <rPr>
        <sz val="11"/>
        <color rgb="FF000000"/>
        <rFont val="Aptos Narrow"/>
        <scheme val="minor"/>
      </rPr>
      <t xml:space="preserve">Repository Notes. </t>
    </r>
    <r>
      <rPr>
        <sz val="11"/>
        <color rgb="FFFF0000"/>
        <rFont val="Aptos Narrow"/>
        <scheme val="minor"/>
      </rPr>
      <t xml:space="preserve">BOLD final depo ROME, CNC ....  all specimens with DCD slides stay at ROME, </t>
    </r>
    <r>
      <rPr>
        <sz val="11"/>
        <color rgb="FF4472C4"/>
        <rFont val="Aptos Narrow"/>
        <scheme val="minor"/>
      </rPr>
      <t>blue ROME below</t>
    </r>
  </si>
  <si>
    <r>
      <t xml:space="preserve"> Slides Repository. </t>
    </r>
    <r>
      <rPr>
        <sz val="11"/>
        <color rgb="FFFF0000"/>
        <rFont val="Calibri"/>
      </rPr>
      <t xml:space="preserve"> .... all specimens with DCD slides stay at ROME, </t>
    </r>
    <r>
      <rPr>
        <sz val="11"/>
        <color rgb="FF4472C4"/>
        <rFont val="Calibri"/>
      </rPr>
      <t>blue ROME below</t>
    </r>
  </si>
  <si>
    <t>Country</t>
  </si>
  <si>
    <t>State/Province</t>
  </si>
  <si>
    <t>County</t>
  </si>
  <si>
    <t>Locality</t>
  </si>
  <si>
    <t>Lat/Long on label Y or N</t>
  </si>
  <si>
    <t>Verbatim Latitude</t>
  </si>
  <si>
    <t>Verbatim Longitude</t>
  </si>
  <si>
    <t>Decimal Latitude</t>
  </si>
  <si>
    <t>Decimal Longitude</t>
  </si>
  <si>
    <t>Determiner, used to create det. labels for already described species</t>
  </si>
  <si>
    <r>
      <rPr>
        <sz val="11"/>
        <color rgb="FF000000"/>
        <rFont val="Aptos Narrow"/>
        <scheme val="minor"/>
      </rPr>
      <t xml:space="preserve">Specimen Notes </t>
    </r>
    <r>
      <rPr>
        <sz val="11"/>
        <color rgb="FFFF0000"/>
        <rFont val="Aptos Narrow"/>
        <scheme val="minor"/>
      </rPr>
      <t>(includes DC Darling slide #)</t>
    </r>
  </si>
  <si>
    <r>
      <t xml:space="preserve">Collecting Event Comments 
</t>
    </r>
    <r>
      <rPr>
        <u/>
        <sz val="11"/>
        <color rgb="FFFF0000"/>
        <rFont val="Aptos Narrow"/>
        <scheme val="minor"/>
      </rPr>
      <t>DCD - Put verbatim label data for Holotypes here</t>
    </r>
  </si>
  <si>
    <t>Collecting Event Identifier</t>
  </si>
  <si>
    <t>Notes (used in R UAE): not used in R</t>
  </si>
  <si>
    <t>Event Name</t>
  </si>
  <si>
    <t>Island</t>
  </si>
  <si>
    <t>Park</t>
  </si>
  <si>
    <t>Macrohabitat</t>
  </si>
  <si>
    <t>Elevation</t>
  </si>
  <si>
    <t>Collecting Start Date</t>
  </si>
  <si>
    <t>Collecting Finish Date</t>
  </si>
  <si>
    <t>Verbatim Date</t>
  </si>
  <si>
    <t>Collector(s)</t>
  </si>
  <si>
    <t>Collecting Method</t>
  </si>
  <si>
    <t>Coordinate Uncertainty in meters</t>
  </si>
  <si>
    <t>Verbatim Locality</t>
  </si>
  <si>
    <t>Other Specimen Number</t>
  </si>
  <si>
    <t xml:space="preserve">Specimen Host </t>
  </si>
  <si>
    <t>Parasitoid Host</t>
  </si>
  <si>
    <t>COI</t>
  </si>
  <si>
    <t>DCDPER17</t>
  </si>
  <si>
    <t>ROME216785</t>
  </si>
  <si>
    <t>DCD - relabelled</t>
  </si>
  <si>
    <t>clavatus</t>
  </si>
  <si>
    <t>Female</t>
  </si>
  <si>
    <t>USNM</t>
  </si>
  <si>
    <t>Ecuador</t>
  </si>
  <si>
    <t>Orellana</t>
  </si>
  <si>
    <t>Transect Ent. 1 km S Onkone Gare Camp.</t>
  </si>
  <si>
    <t>0°39'10"S</t>
  </si>
  <si>
    <t>76°26'00"W</t>
  </si>
  <si>
    <t>DC Darling, 2025</t>
  </si>
  <si>
    <t>BOLD COI-5P sequence; K Digital Image Voucher 2025 Mar 14 prepectus ROM</t>
  </si>
  <si>
    <t>Lot # 1949</t>
  </si>
  <si>
    <t>Reserva Etnica Waorani</t>
  </si>
  <si>
    <t>terre firme forest</t>
  </si>
  <si>
    <t>220m</t>
  </si>
  <si>
    <t>26.X.1998</t>
  </si>
  <si>
    <t>TL Erwin</t>
  </si>
  <si>
    <t>Fogging</t>
  </si>
  <si>
    <t>Sharkey Project</t>
  </si>
  <si>
    <t>DCDPER5</t>
  </si>
  <si>
    <t>ROME216784</t>
  </si>
  <si>
    <t>ROME</t>
  </si>
  <si>
    <t>Colombia</t>
  </si>
  <si>
    <t>Amazonas</t>
  </si>
  <si>
    <t>San Martin</t>
  </si>
  <si>
    <t>3°23'S</t>
  </si>
  <si>
    <t>70°06'W</t>
  </si>
  <si>
    <t>BOLD COI-5P sequence; K Digital Image Voucher 2025 Mar 14 Malar sulcus ROM</t>
  </si>
  <si>
    <t>M.88</t>
  </si>
  <si>
    <t>Parque Nacional Natural Amacayacu</t>
  </si>
  <si>
    <t>150m</t>
  </si>
  <si>
    <t>24 Apr - 5 May 2000</t>
  </si>
  <si>
    <t>A Parente</t>
  </si>
  <si>
    <t>nice set of images</t>
  </si>
  <si>
    <t>ROME24396</t>
  </si>
  <si>
    <t>Imaged</t>
  </si>
  <si>
    <t>Costa Rica</t>
  </si>
  <si>
    <t>Puntarenas</t>
  </si>
  <si>
    <t>24 Km W. Golfito Dulce</t>
  </si>
  <si>
    <t>8°44'0"N</t>
  </si>
  <si>
    <t>83°21'0"W</t>
  </si>
  <si>
    <t>8.7333333</t>
  </si>
  <si>
    <t>-83.35</t>
  </si>
  <si>
    <t>DC Darling, 2022</t>
  </si>
  <si>
    <t>K Digital Image Voucher 2021 ROM</t>
  </si>
  <si>
    <t>Used 24 km NW of Golfito for coordinates</t>
  </si>
  <si>
    <t>ROM000000024</t>
  </si>
  <si>
    <t>2 Sep 1991</t>
  </si>
  <si>
    <t>Paul Hanson</t>
  </si>
  <si>
    <t>ROME162494</t>
  </si>
  <si>
    <t>CNC</t>
  </si>
  <si>
    <t>Sucumbios</t>
  </si>
  <si>
    <t>Napo River, Sacha Lodge</t>
  </si>
  <si>
    <t>Yes</t>
  </si>
  <si>
    <t>0°30'S</t>
  </si>
  <si>
    <t>76°30'W</t>
  </si>
  <si>
    <t>-0.5</t>
  </si>
  <si>
    <t>-76.5</t>
  </si>
  <si>
    <t>ROM000004453</t>
  </si>
  <si>
    <t>270m</t>
  </si>
  <si>
    <t>1994-06-12</t>
  </si>
  <si>
    <t>1994-06-22</t>
  </si>
  <si>
    <t>12-22 Jun 1994</t>
  </si>
  <si>
    <t>P. Hibbs</t>
  </si>
  <si>
    <t>clypeus habitus</t>
  </si>
  <si>
    <t>ROME147986</t>
  </si>
  <si>
    <t>Labelled 2022</t>
  </si>
  <si>
    <t>Trinidad and Tobago</t>
  </si>
  <si>
    <t>Tunapuna/Piarco</t>
  </si>
  <si>
    <t>Curepe</t>
  </si>
  <si>
    <t>No</t>
  </si>
  <si>
    <t>10.6391</t>
  </si>
  <si>
    <t>-61.4078</t>
  </si>
  <si>
    <t>ROM000000864</t>
  </si>
  <si>
    <t>Trinidad</t>
  </si>
  <si>
    <t>10m</t>
  </si>
  <si>
    <t>1978-07-16</t>
  </si>
  <si>
    <t>16 Jul 1978</t>
  </si>
  <si>
    <t>Malaise trap</t>
  </si>
  <si>
    <t>check sex == guessed DCD</t>
  </si>
  <si>
    <t>ROM</t>
  </si>
  <si>
    <t>ROME147985</t>
  </si>
  <si>
    <t>PMAE</t>
  </si>
  <si>
    <t>10°38'0"N</t>
  </si>
  <si>
    <t>61°24'0"W</t>
  </si>
  <si>
    <t>10.6333333</t>
  </si>
  <si>
    <t>-61.4</t>
  </si>
  <si>
    <t>ROM000001225</t>
  </si>
  <si>
    <t>1-4 Dec 1977</t>
  </si>
  <si>
    <t>WRM Mason</t>
  </si>
  <si>
    <t>scape image good from SEM stub</t>
  </si>
  <si>
    <t>This is a UCRC Catalogued Specimen (see column AT) - should be returned to UCRC and not USNM?</t>
  </si>
  <si>
    <t>ROME147984</t>
  </si>
  <si>
    <t>Male</t>
  </si>
  <si>
    <t>Tiputini Biodiversity Station</t>
  </si>
  <si>
    <t>00°37'55"S</t>
  </si>
  <si>
    <t>76°08'39"W</t>
  </si>
  <si>
    <t>-0.6316</t>
  </si>
  <si>
    <t>-76.1443</t>
  </si>
  <si>
    <t>Lot # 1851; collected at Transect 6, Station 2; Eucharitidae database Dr. John Heraty EUC01489; Digital Image Voucher 2016 'Clyperus head' ROM.; SEM 2017-20-3</t>
  </si>
  <si>
    <t>Lot # 1851; collected at Transect 6, Station 2</t>
  </si>
  <si>
    <t>Yasuni National Park</t>
  </si>
  <si>
    <t>ROM000001222</t>
  </si>
  <si>
    <t>terre firme forest; mostly bare green leaves, some with covering of lichenous or bryophytic plants</t>
  </si>
  <si>
    <t>220-250m</t>
  </si>
  <si>
    <t>1998-07-01</t>
  </si>
  <si>
    <t>1 Jul 1998</t>
  </si>
  <si>
    <t>Insecticidal fogging</t>
  </si>
  <si>
    <t>UCRC ENT 103487</t>
  </si>
  <si>
    <t>To measure JJB images</t>
  </si>
  <si>
    <t>db wrong ? 1997 Excel correct</t>
  </si>
  <si>
    <t>ROME147983</t>
  </si>
  <si>
    <t>Heredia</t>
  </si>
  <si>
    <t>La Selva Biological Station, 3 km S Puerto Viejo</t>
  </si>
  <si>
    <t>10°26'N</t>
  </si>
  <si>
    <t>84°01'W</t>
  </si>
  <si>
    <t>10.4333333</t>
  </si>
  <si>
    <t>-84.0166667</t>
  </si>
  <si>
    <t>Scape MS v short</t>
  </si>
  <si>
    <t>ROM000001220</t>
  </si>
  <si>
    <t>" 16 Jul 1997</t>
  </si>
  <si>
    <t>HA Hespenheide</t>
  </si>
  <si>
    <t>Measured #14</t>
  </si>
  <si>
    <t>ROME147982</t>
  </si>
  <si>
    <t>ROME (slides)</t>
  </si>
  <si>
    <t>10°26'0"N</t>
  </si>
  <si>
    <t>84°1'0"W</t>
  </si>
  <si>
    <t>DC Darling slide # forewing 2177, antenna 2178</t>
  </si>
  <si>
    <t>ROM000001219</t>
  </si>
  <si>
    <t>25 Jul 1993</t>
  </si>
  <si>
    <t>DCD</t>
  </si>
  <si>
    <t>ROME145013</t>
  </si>
  <si>
    <t>UFES/LAPIS</t>
  </si>
  <si>
    <t>Brazil</t>
  </si>
  <si>
    <t>Rondônia</t>
  </si>
  <si>
    <t>Candeias do Jamari, Batalhao de Policia Ambiental, BR-364 km 2</t>
  </si>
  <si>
    <t>8°47'00"S</t>
  </si>
  <si>
    <t>63°42'00"W</t>
  </si>
  <si>
    <t>-8.7833333</t>
  </si>
  <si>
    <t>-63.7</t>
  </si>
  <si>
    <t>ROM000003667</t>
  </si>
  <si>
    <t>102m</t>
  </si>
  <si>
    <t>2006-01-28</t>
  </si>
  <si>
    <t>2006-02-04</t>
  </si>
  <si>
    <t>28 Jan - 4 Feb 2006</t>
  </si>
  <si>
    <t>DF Mugrabi</t>
  </si>
  <si>
    <t>UFES No. 00930</t>
  </si>
  <si>
    <t>ROME142693</t>
  </si>
  <si>
    <t>Labelled 2024</t>
  </si>
  <si>
    <t>INPA</t>
  </si>
  <si>
    <t>Manaus, EMBRAPA - Guarana organic farm</t>
  </si>
  <si>
    <t>2°53'29.14"S</t>
  </si>
  <si>
    <t>59°58'45.8"W</t>
  </si>
  <si>
    <t>-2.8914278</t>
  </si>
  <si>
    <t>-59.9793889</t>
  </si>
  <si>
    <t>Lot: 1308; Borda Malaise</t>
  </si>
  <si>
    <t>ROM000003424</t>
  </si>
  <si>
    <t>Edge</t>
  </si>
  <si>
    <t>28 Sep 2012</t>
  </si>
  <si>
    <t>Karine Schoeninger</t>
  </si>
  <si>
    <t>ROME140949</t>
  </si>
  <si>
    <t>EMUS</t>
  </si>
  <si>
    <t>62km SE Ariquemes</t>
  </si>
  <si>
    <t>10°18'0"N</t>
  </si>
  <si>
    <t>62°37'0"W</t>
  </si>
  <si>
    <t>10.3</t>
  </si>
  <si>
    <t>-62.6166667</t>
  </si>
  <si>
    <t>ROM000003080</t>
  </si>
  <si>
    <t>1994-11-08</t>
  </si>
  <si>
    <t>1994-11-20</t>
  </si>
  <si>
    <t>8-20 Nov 1994</t>
  </si>
  <si>
    <t>measured #11</t>
  </si>
  <si>
    <t>DHJPAR0062792</t>
  </si>
  <si>
    <t>ROME198538</t>
  </si>
  <si>
    <t>BOLD:AAE3635</t>
  </si>
  <si>
    <t>Holotype</t>
  </si>
  <si>
    <t>Guanacaste</t>
  </si>
  <si>
    <t>Sector Rincon Rain Forest, Sendero Venado</t>
  </si>
  <si>
    <t>10.8968</t>
  </si>
  <si>
    <t>-85.27</t>
  </si>
  <si>
    <t>Area de Conservacion Guanacaste</t>
  </si>
  <si>
    <t>ROM000004366</t>
  </si>
  <si>
    <t>420m</t>
  </si>
  <si>
    <t>2018-05-13</t>
  </si>
  <si>
    <t>13-May-2018</t>
  </si>
  <si>
    <t>Pablo Umana Calderon</t>
  </si>
  <si>
    <t>DHJPAR0062791</t>
  </si>
  <si>
    <t>ROME198537</t>
  </si>
  <si>
    <t>Paratype</t>
  </si>
  <si>
    <t>Sector Rincon Rain Forest, Sendero Anonas</t>
  </si>
  <si>
    <t>10.9053</t>
  </si>
  <si>
    <t>-85.2788</t>
  </si>
  <si>
    <t>ROM000004365</t>
  </si>
  <si>
    <t>405m</t>
  </si>
  <si>
    <t>2018-06-08</t>
  </si>
  <si>
    <t>08-Jun-2018</t>
  </si>
  <si>
    <t>DHJPAR0057010</t>
  </si>
  <si>
    <t>ROME200682</t>
  </si>
  <si>
    <t>Alajuela</t>
  </si>
  <si>
    <t>Sector Rincon Rain Forest, Chayito</t>
  </si>
  <si>
    <t>10.94585</t>
  </si>
  <si>
    <t>-85.32044</t>
  </si>
  <si>
    <t>ROM000004491</t>
  </si>
  <si>
    <t>470m</t>
  </si>
  <si>
    <t>2014-11-11</t>
  </si>
  <si>
    <t>11 Nov 2014</t>
  </si>
  <si>
    <t>Minor Carmona</t>
  </si>
  <si>
    <t>Host: Antaeotricha Janzen40</t>
  </si>
  <si>
    <t>DHJPAR0055575</t>
  </si>
  <si>
    <t>ROME200617</t>
  </si>
  <si>
    <t>ROM - relabelled</t>
  </si>
  <si>
    <t>Imaged JY apr25</t>
  </si>
  <si>
    <t>n b ??</t>
  </si>
  <si>
    <t>ROM000004459</t>
  </si>
  <si>
    <t>2014-06-13</t>
  </si>
  <si>
    <t>13-Jun-2014</t>
  </si>
  <si>
    <t>Anabelle Cordoba</t>
  </si>
  <si>
    <t>DHJPAR0055573</t>
  </si>
  <si>
    <t>ROME200616</t>
  </si>
  <si>
    <t>ROM000004458</t>
  </si>
  <si>
    <t>2014-06-11</t>
  </si>
  <si>
    <t>11-Jun-2014</t>
  </si>
  <si>
    <t>DHJPAR0055572</t>
  </si>
  <si>
    <t>ROME200615</t>
  </si>
  <si>
    <t>Sector San Cristobal, Rio Blanco Abajo</t>
  </si>
  <si>
    <t>ROM000004457</t>
  </si>
  <si>
    <t>500m</t>
  </si>
  <si>
    <t>2014-05-13</t>
  </si>
  <si>
    <t>13-May-2014</t>
  </si>
  <si>
    <t>Carolina Cano</t>
  </si>
  <si>
    <t>Host: Antaeotricha Janzen24</t>
  </si>
  <si>
    <t>DHJPAR0055571</t>
  </si>
  <si>
    <t>ROME200614</t>
  </si>
  <si>
    <t>ROM000004456</t>
  </si>
  <si>
    <t>2014-06-05</t>
  </si>
  <si>
    <t>05-Jun-2014</t>
  </si>
  <si>
    <t>Host: Antaeotricha Janzen146</t>
  </si>
  <si>
    <t>DHJPAR0051946</t>
  </si>
  <si>
    <t>ROME167664</t>
  </si>
  <si>
    <t>Potrero Argentina</t>
  </si>
  <si>
    <t>10.89021</t>
  </si>
  <si>
    <t>-85.38803</t>
  </si>
  <si>
    <t>DC Darling, 2020</t>
  </si>
  <si>
    <t>COI Sequence</t>
  </si>
  <si>
    <t>ROM000003971</t>
  </si>
  <si>
    <t>520m</t>
  </si>
  <si>
    <t>2013-02-10</t>
  </si>
  <si>
    <t>10 Feb 2013</t>
  </si>
  <si>
    <t>Gloria Sihezar</t>
  </si>
  <si>
    <t>Reared</t>
  </si>
  <si>
    <t>Host: Depressariidae, Parasitoid: Apanteles laurenmoralesae Braconidae</t>
  </si>
  <si>
    <t>to John Heraty for AE 2016</t>
  </si>
  <si>
    <t>DHJPAR0051479</t>
  </si>
  <si>
    <t>ROME148002</t>
  </si>
  <si>
    <t>Permanently to J. Heraty</t>
  </si>
  <si>
    <t>UCRC</t>
  </si>
  <si>
    <t>Sector Rincon Rain Forest, Finca Esmeralda</t>
  </si>
  <si>
    <t>10.93548</t>
  </si>
  <si>
    <t>-85.25314</t>
  </si>
  <si>
    <t>ROM000001470</t>
  </si>
  <si>
    <t>123m</t>
  </si>
  <si>
    <t>2013-01-18</t>
  </si>
  <si>
    <t>18 Jan 2013</t>
  </si>
  <si>
    <t>Cirilo Umana</t>
  </si>
  <si>
    <t>DHJPAR0051476</t>
  </si>
  <si>
    <t>ROME148001</t>
  </si>
  <si>
    <t xml:space="preserve">to John Heraty for AE 2016 </t>
  </si>
  <si>
    <t>DHJPAR0048920</t>
  </si>
  <si>
    <t>ROME148000</t>
  </si>
  <si>
    <r>
      <rPr>
        <sz val="11"/>
        <color rgb="FFC65911"/>
        <rFont val="Aptos Narrow"/>
        <scheme val="minor"/>
      </rPr>
      <t xml:space="preserve">Permanently to J. Heraty; </t>
    </r>
    <r>
      <rPr>
        <sz val="11"/>
        <color rgb="FFFF0000"/>
        <rFont val="Aptos Narrow"/>
        <scheme val="minor"/>
      </rPr>
      <t>DCD - relabelled</t>
    </r>
  </si>
  <si>
    <t>Sector Rincon Rain Forest, Estacion Botarrama</t>
  </si>
  <si>
    <t>10.95991</t>
  </si>
  <si>
    <t>-85.28298</t>
  </si>
  <si>
    <t>SEM Stub 2017-5, SEMs 16-22</t>
  </si>
  <si>
    <t>ROM000004548</t>
  </si>
  <si>
    <t>160m</t>
  </si>
  <si>
    <t>2012-04-18</t>
  </si>
  <si>
    <t>18 Apr 2012</t>
  </si>
  <si>
    <t>Keiner Aragon</t>
  </si>
  <si>
    <t>DHJPAR0045444</t>
  </si>
  <si>
    <t>ROME147999</t>
  </si>
  <si>
    <t>Malaguenya</t>
  </si>
  <si>
    <t>10°57'21"N</t>
  </si>
  <si>
    <t>85°17'2"W</t>
  </si>
  <si>
    <t>10.9558333</t>
  </si>
  <si>
    <t>-85.2838889</t>
  </si>
  <si>
    <t>ROM000001459</t>
  </si>
  <si>
    <t>221m</t>
  </si>
  <si>
    <t>2011-08-15</t>
  </si>
  <si>
    <t>15 Aug 2011</t>
  </si>
  <si>
    <t>Keyner Aragon</t>
  </si>
  <si>
    <t>Host: Elachistidae see description</t>
  </si>
  <si>
    <t>DHJPAR0045443</t>
  </si>
  <si>
    <t>ROME147998</t>
  </si>
  <si>
    <t>BOLD COI-5P sequence</t>
  </si>
  <si>
    <t>ROM000001458</t>
  </si>
  <si>
    <t>2011-08-07</t>
  </si>
  <si>
    <t>7 Aug 2011</t>
  </si>
  <si>
    <t>DHJPAR0043310</t>
  </si>
  <si>
    <t>ROME147997</t>
  </si>
  <si>
    <t>Sector San Cristobal, Quebrada Garcia</t>
  </si>
  <si>
    <t>BOLD COI-5P sequence; Digital Image Voucher Petiole 2 June 2015 ROM; Digital Image Voucher 2016 Scape ROM</t>
  </si>
  <si>
    <t>ROM000001463</t>
  </si>
  <si>
    <t>495m</t>
  </si>
  <si>
    <t>2011-04-20</t>
  </si>
  <si>
    <t>20 Apr 2011</t>
  </si>
  <si>
    <t>Elda Araya</t>
  </si>
  <si>
    <t>Host: Elachistidae same as 09-SRNP-55631</t>
  </si>
  <si>
    <t>DHJPAR0043307</t>
  </si>
  <si>
    <t>ROME147996</t>
  </si>
  <si>
    <t>Quebrada Garcia</t>
  </si>
  <si>
    <t>10°51'39"N</t>
  </si>
  <si>
    <t>85°25'33"W</t>
  </si>
  <si>
    <t>10.8608333</t>
  </si>
  <si>
    <t>-85.4258333</t>
  </si>
  <si>
    <t>ROM000001464</t>
  </si>
  <si>
    <t>3 Apr 2011</t>
  </si>
  <si>
    <t>Host: Elachistidae same as 09-55629</t>
  </si>
  <si>
    <t>SEM, not much use!</t>
  </si>
  <si>
    <t>DHJPAR0043300</t>
  </si>
  <si>
    <t>ROME147995</t>
  </si>
  <si>
    <t>Imaged - Antenna</t>
  </si>
  <si>
    <t>BOLD COI-5P sequence; SEM 2017-23-12</t>
  </si>
  <si>
    <t>DHJPAR0043299</t>
  </si>
  <si>
    <t>ROME147994</t>
  </si>
  <si>
    <t>ROM000001462</t>
  </si>
  <si>
    <t>2011-04-17</t>
  </si>
  <si>
    <t>17 Apr 2011</t>
  </si>
  <si>
    <t>DHJPAR0043294</t>
  </si>
  <si>
    <t>ROME147993</t>
  </si>
  <si>
    <t>BOLD COI-5P sequence; DC Darling slide # forewing 2157, antenna 2158; Digital Image Voucher Petiole/gs1 2 June 2015 ROM</t>
  </si>
  <si>
    <t>ROM000001461</t>
  </si>
  <si>
    <t>7 Apr 2011</t>
  </si>
  <si>
    <t>DHJPAR0039573</t>
  </si>
  <si>
    <t>ROME147992</t>
  </si>
  <si>
    <t>Sendero Venado</t>
  </si>
  <si>
    <t>10°53'49"N</t>
  </si>
  <si>
    <t>85°16'11"W</t>
  </si>
  <si>
    <t>10.8969444</t>
  </si>
  <si>
    <t>-85.2697222</t>
  </si>
  <si>
    <t>ROM000001469</t>
  </si>
  <si>
    <t>2010-05-24</t>
  </si>
  <si>
    <t>24 May 2010</t>
  </si>
  <si>
    <t>Calderon; Cirilo Umana; Pablo</t>
  </si>
  <si>
    <t>Host: Elachistidae same as 10-SRNP-41415</t>
  </si>
  <si>
    <t>DHJPAR0039569</t>
  </si>
  <si>
    <t>ROME147991</t>
  </si>
  <si>
    <t>ROM000001468</t>
  </si>
  <si>
    <t>2010-05-23</t>
  </si>
  <si>
    <t>23 May 2010</t>
  </si>
  <si>
    <t>Pablo Umaña Calderon</t>
  </si>
  <si>
    <t>DHJPAR0039567</t>
  </si>
  <si>
    <t>ROME147990</t>
  </si>
  <si>
    <t>BOLD COI-5P sequence; DC Darling slide # forewing 2185, antenna 2186</t>
  </si>
  <si>
    <t>ROM000001466</t>
  </si>
  <si>
    <t>2010-05-19</t>
  </si>
  <si>
    <t>19 May 2010</t>
  </si>
  <si>
    <t>DHJPAR0039566</t>
  </si>
  <si>
    <t>ROME147989</t>
  </si>
  <si>
    <t>BOLD COI-5P sequence; Digital Image Voucher 2013 Oct 17 ROM</t>
  </si>
  <si>
    <t>ROM000001467</t>
  </si>
  <si>
    <t>2010-05-20</t>
  </si>
  <si>
    <t>20 May 2010</t>
  </si>
  <si>
    <t>DHJPAR0039565</t>
  </si>
  <si>
    <t>ROME147988</t>
  </si>
  <si>
    <t>ROM000001465</t>
  </si>
  <si>
    <t>2010-05-17</t>
  </si>
  <si>
    <t>17 May 2010</t>
  </si>
  <si>
    <t>Host: Elachistidae Antaeotricha Janzen40</t>
  </si>
  <si>
    <t>DHJPAR0038521</t>
  </si>
  <si>
    <t>ROME147987</t>
  </si>
  <si>
    <t>Sector Del Oro, Quebrada Salazar</t>
  </si>
  <si>
    <t>BOLD COI-5P sequence; Digital Image Voucher 2016 Clyperus, Head ROM</t>
  </si>
  <si>
    <t>ROM000001460</t>
  </si>
  <si>
    <t>560m</t>
  </si>
  <si>
    <t>2009-12-02</t>
  </si>
  <si>
    <t>02-Dec-2009</t>
  </si>
  <si>
    <t>Elieth Cantillano</t>
  </si>
  <si>
    <t>Host: Gelechiidae same as 00-SRNP-7054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</si>
</sst>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1"/>
      <color theme="1"/>
      <name val="Aptos Narrow"/>
      <family val="2"/>
      <scheme val="minor"/>
    </font>
    <font>
      <sz val="8"/>
      <color rgb="FF000000"/>
      <name val="Aptos Narrow"/>
      <scheme val="minor"/>
    </font>
    <font>
      <sz val="11"/>
      <color indexed="8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b/>
      <sz val="11"/>
      <color indexed="8"/>
      <name val="Aptos Narrow"/>
      <scheme val="minor"/>
    </font>
    <font>
      <sz val="11"/>
      <name val="Aptos Narrow"/>
      <scheme val="minor"/>
    </font>
    <font>
      <b/>
      <sz val="11"/>
      <color rgb="FFFF0000"/>
      <name val="Aptos Narrow"/>
      <scheme val="minor"/>
    </font>
    <font>
      <b/>
      <sz val="11"/>
      <color rgb="FF00B0F0"/>
      <name val="Aptos Narrow"/>
      <scheme val="minor"/>
    </font>
    <font>
      <b/>
      <sz val="11"/>
      <color rgb="FF000000"/>
      <name val="Aptos Narrow"/>
      <scheme val="minor"/>
    </font>
    <font>
      <sz val="11"/>
      <color rgb="FF4472C4"/>
      <name val="Aptos Narrow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rgb="FF4472C4"/>
      <name val="Calibri"/>
    </font>
    <font>
      <b/>
      <sz val="10"/>
      <color rgb="FFFF0000"/>
      <name val="Aptos Narrow"/>
      <scheme val="minor"/>
    </font>
    <font>
      <u/>
      <sz val="11"/>
      <color rgb="FFFF0000"/>
      <name val="Aptos Narrow"/>
      <scheme val="minor"/>
    </font>
    <font>
      <sz val="8"/>
      <color indexed="8"/>
      <name val="Aptos Narrow"/>
      <scheme val="minor"/>
    </font>
    <font>
      <b/>
      <sz val="11"/>
      <color rgb="FF0070C0"/>
      <name val="Aptos Narrow"/>
      <scheme val="minor"/>
    </font>
    <font>
      <sz val="11"/>
      <color rgb="FF0070C0"/>
      <name val="Aptos Narrow"/>
      <scheme val="minor"/>
    </font>
    <font>
      <sz val="11"/>
      <color theme="0" tint="-0.249977111117893"/>
      <name val="Aptos Narrow"/>
      <scheme val="minor"/>
    </font>
    <font>
      <sz val="11"/>
      <color theme="4" tint="-0.249977111117893"/>
      <name val="Aptos Narrow"/>
      <scheme val="minor"/>
    </font>
    <font>
      <sz val="11"/>
      <color theme="5" tint="-0.249977111117893"/>
      <name val="Aptos Narrow"/>
      <scheme val="minor"/>
    </font>
    <font>
      <sz val="11"/>
      <color rgb="FFC6591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 readingOrder="1"/>
    </xf>
    <xf numFmtId="0" fontId="3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top" readingOrder="1"/>
    </xf>
    <xf numFmtId="0" fontId="5" fillId="2" borderId="1" xfId="0" applyFont="1" applyFill="1" applyBorder="1" applyAlignment="1">
      <alignment horizontal="left" vertical="top" wrapText="1" readingOrder="1"/>
    </xf>
    <xf numFmtId="0" fontId="6" fillId="4" borderId="1" xfId="0" applyFont="1" applyFill="1" applyBorder="1" applyAlignment="1">
      <alignment horizontal="left" vertical="top" readingOrder="1"/>
    </xf>
    <xf numFmtId="0" fontId="7" fillId="5" borderId="1" xfId="0" applyFont="1" applyFill="1" applyBorder="1" applyAlignment="1">
      <alignment horizontal="left" vertical="top" readingOrder="1"/>
    </xf>
    <xf numFmtId="0" fontId="8" fillId="5" borderId="1" xfId="0" applyFont="1" applyFill="1" applyBorder="1" applyAlignment="1">
      <alignment horizontal="left" vertical="top" readingOrder="1"/>
    </xf>
    <xf numFmtId="0" fontId="9" fillId="0" borderId="1" xfId="0" applyFont="1" applyBorder="1" applyAlignment="1">
      <alignment horizontal="left" vertical="top" readingOrder="1"/>
    </xf>
    <xf numFmtId="0" fontId="9" fillId="2" borderId="1" xfId="0" applyFont="1" applyFill="1" applyBorder="1" applyAlignment="1">
      <alignment horizontal="left" vertical="top" readingOrder="1"/>
    </xf>
    <xf numFmtId="0" fontId="11" fillId="0" borderId="0" xfId="0" applyFont="1" applyAlignment="1">
      <alignment vertical="top" wrapText="1"/>
    </xf>
    <xf numFmtId="0" fontId="14" fillId="2" borderId="1" xfId="0" applyFont="1" applyFill="1" applyBorder="1" applyAlignment="1">
      <alignment horizontal="left" vertical="top" readingOrder="1"/>
    </xf>
    <xf numFmtId="164" fontId="2" fillId="2" borderId="1" xfId="0" applyNumberFormat="1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6" borderId="1" xfId="0" applyFont="1" applyFill="1" applyBorder="1" applyAlignment="1">
      <alignment horizontal="left" vertical="center" readingOrder="1"/>
    </xf>
    <xf numFmtId="1" fontId="2" fillId="6" borderId="1" xfId="0" applyNumberFormat="1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15" fontId="3" fillId="6" borderId="1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3A71-0FB0-4AE2-AA3E-DAA82BEB1B2C}">
  <dimension ref="A1:BA38"/>
  <sheetViews>
    <sheetView tabSelected="1" topLeftCell="R19" zoomScale="130" zoomScaleNormal="130" workbookViewId="0">
      <selection activeCell="AA25" sqref="AA25"/>
    </sheetView>
  </sheetViews>
  <sheetFormatPr baseColWidth="10" defaultColWidth="8.83203125" defaultRowHeight="15" x14ac:dyDescent="0.2"/>
  <cols>
    <col min="12" max="12" width="19" customWidth="1"/>
    <col min="26" max="26" width="23" customWidth="1"/>
    <col min="28" max="28" width="19.6640625" customWidth="1"/>
  </cols>
  <sheetData>
    <row r="1" spans="1:53" s="20" customFormat="1" ht="99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8" t="s">
        <v>10</v>
      </c>
      <c r="L1" s="10" t="s">
        <v>11</v>
      </c>
      <c r="M1" s="6" t="s">
        <v>12</v>
      </c>
      <c r="N1" s="11" t="s">
        <v>13</v>
      </c>
      <c r="O1" s="12" t="s">
        <v>14</v>
      </c>
      <c r="P1" s="13" t="s">
        <v>15</v>
      </c>
      <c r="Q1" s="14" t="s">
        <v>16</v>
      </c>
      <c r="R1" s="7" t="s">
        <v>17</v>
      </c>
      <c r="S1" s="15" t="s">
        <v>18</v>
      </c>
      <c r="T1" s="10" t="s">
        <v>19</v>
      </c>
      <c r="U1" s="5" t="s">
        <v>20</v>
      </c>
      <c r="V1" s="16" t="s">
        <v>21</v>
      </c>
      <c r="W1" s="6" t="s">
        <v>22</v>
      </c>
      <c r="X1" s="6" t="s">
        <v>23</v>
      </c>
      <c r="Y1" s="9" t="s">
        <v>24</v>
      </c>
      <c r="Z1" s="6" t="s">
        <v>25</v>
      </c>
      <c r="AA1" s="17" t="s">
        <v>26</v>
      </c>
      <c r="AB1" s="6" t="s">
        <v>27</v>
      </c>
      <c r="AC1" s="6" t="s">
        <v>28</v>
      </c>
      <c r="AD1" s="9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7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8" t="s">
        <v>41</v>
      </c>
      <c r="AQ1" s="18" t="s">
        <v>42</v>
      </c>
      <c r="AR1" s="9" t="s">
        <v>43</v>
      </c>
      <c r="AS1" s="6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19" t="s">
        <v>50</v>
      </c>
      <c r="AZ1" s="2"/>
      <c r="BA1" s="2"/>
    </row>
    <row r="2" spans="1:53" s="26" customFormat="1" x14ac:dyDescent="0.2">
      <c r="A2" s="21">
        <v>3099</v>
      </c>
      <c r="B2" s="22"/>
      <c r="C2" s="23"/>
      <c r="D2" s="24" t="s">
        <v>51</v>
      </c>
      <c r="E2" s="22" t="s">
        <v>52</v>
      </c>
      <c r="F2" s="22" t="s">
        <v>53</v>
      </c>
      <c r="G2" s="22" t="s">
        <v>53</v>
      </c>
      <c r="H2" s="24" t="s">
        <v>54</v>
      </c>
      <c r="I2" s="24"/>
      <c r="J2" s="25"/>
      <c r="K2" s="25"/>
      <c r="L2" s="23" t="s">
        <v>51</v>
      </c>
      <c r="M2" s="22" t="s">
        <v>55</v>
      </c>
      <c r="Q2" s="22"/>
      <c r="R2" s="23"/>
      <c r="S2" s="22" t="s">
        <v>56</v>
      </c>
      <c r="T2" s="22" t="s">
        <v>57</v>
      </c>
      <c r="U2" s="22"/>
      <c r="V2" s="22"/>
      <c r="W2" s="22" t="s">
        <v>58</v>
      </c>
      <c r="X2" s="23" t="s">
        <v>59</v>
      </c>
      <c r="Y2" s="23"/>
      <c r="Z2" s="23" t="s">
        <v>60</v>
      </c>
      <c r="AA2" s="24"/>
      <c r="AB2" s="23" t="s">
        <v>61</v>
      </c>
      <c r="AC2" s="23" t="s">
        <v>62</v>
      </c>
      <c r="AD2" s="23"/>
      <c r="AE2" s="23"/>
      <c r="AF2" s="23" t="s">
        <v>63</v>
      </c>
      <c r="AG2" s="23" t="s">
        <v>64</v>
      </c>
      <c r="AH2" s="23" t="s">
        <v>65</v>
      </c>
      <c r="AI2" s="23"/>
      <c r="AJ2" s="23"/>
      <c r="AK2" s="23"/>
      <c r="AL2" s="23"/>
      <c r="AM2" s="23" t="s">
        <v>66</v>
      </c>
      <c r="AN2" s="23" t="s">
        <v>67</v>
      </c>
      <c r="AO2" s="23" t="s">
        <v>68</v>
      </c>
      <c r="AP2" s="27">
        <v>36094</v>
      </c>
      <c r="AQ2" s="27">
        <v>36094</v>
      </c>
      <c r="AR2" s="23" t="s">
        <v>69</v>
      </c>
      <c r="AS2" s="23" t="s">
        <v>70</v>
      </c>
      <c r="AT2" s="23" t="s">
        <v>71</v>
      </c>
      <c r="AU2" s="23"/>
      <c r="AV2" s="23"/>
      <c r="AW2" s="23" t="s">
        <v>52</v>
      </c>
      <c r="AX2" s="23"/>
      <c r="AY2" s="23"/>
      <c r="AZ2" s="23"/>
    </row>
    <row r="3" spans="1:53" s="26" customFormat="1" x14ac:dyDescent="0.2">
      <c r="A3" s="21">
        <v>3098</v>
      </c>
      <c r="B3" s="28" t="s">
        <v>72</v>
      </c>
      <c r="C3" s="23"/>
      <c r="D3" s="24" t="s">
        <v>51</v>
      </c>
      <c r="E3" s="22" t="s">
        <v>73</v>
      </c>
      <c r="F3" s="22" t="s">
        <v>74</v>
      </c>
      <c r="G3" s="22" t="s">
        <v>74</v>
      </c>
      <c r="H3" s="24" t="s">
        <v>54</v>
      </c>
      <c r="I3" s="24"/>
      <c r="J3" s="25"/>
      <c r="K3" s="25"/>
      <c r="L3" s="23" t="s">
        <v>51</v>
      </c>
      <c r="M3" s="22" t="s">
        <v>55</v>
      </c>
      <c r="Q3" s="22"/>
      <c r="R3" s="23"/>
      <c r="S3" s="22" t="s">
        <v>56</v>
      </c>
      <c r="T3" s="22" t="s">
        <v>75</v>
      </c>
      <c r="U3" s="22"/>
      <c r="V3" s="22"/>
      <c r="W3" s="22" t="s">
        <v>76</v>
      </c>
      <c r="X3" s="23" t="s">
        <v>77</v>
      </c>
      <c r="Y3" s="23"/>
      <c r="Z3" s="23" t="s">
        <v>78</v>
      </c>
      <c r="AA3" s="24"/>
      <c r="AB3" s="23" t="s">
        <v>79</v>
      </c>
      <c r="AC3" s="23" t="s">
        <v>80</v>
      </c>
      <c r="AD3" s="23">
        <v>-3.3833329999999999</v>
      </c>
      <c r="AE3" s="23">
        <v>-70.099999999999994</v>
      </c>
      <c r="AF3" s="23" t="s">
        <v>63</v>
      </c>
      <c r="AG3" s="23" t="s">
        <v>81</v>
      </c>
      <c r="AH3" s="23"/>
      <c r="AI3" s="23" t="s">
        <v>82</v>
      </c>
      <c r="AJ3" s="23"/>
      <c r="AK3" s="23"/>
      <c r="AL3" s="23"/>
      <c r="AM3" s="23" t="s">
        <v>83</v>
      </c>
      <c r="AN3" s="23"/>
      <c r="AO3" s="23" t="s">
        <v>84</v>
      </c>
      <c r="AP3" s="27">
        <v>36640</v>
      </c>
      <c r="AQ3" s="27">
        <v>36651</v>
      </c>
      <c r="AR3" s="23" t="s">
        <v>85</v>
      </c>
      <c r="AS3" s="23" t="s">
        <v>86</v>
      </c>
      <c r="AT3" s="23"/>
      <c r="AU3" s="23"/>
      <c r="AV3" s="23"/>
      <c r="AW3" s="23" t="s">
        <v>73</v>
      </c>
      <c r="AX3" s="23"/>
      <c r="AY3" s="23"/>
      <c r="AZ3" s="23"/>
    </row>
    <row r="4" spans="1:53" s="26" customFormat="1" x14ac:dyDescent="0.2">
      <c r="A4" s="21">
        <v>2991</v>
      </c>
      <c r="B4" s="23" t="s">
        <v>87</v>
      </c>
      <c r="C4" s="23"/>
      <c r="E4" s="22"/>
      <c r="F4" s="29" t="s">
        <v>88</v>
      </c>
      <c r="G4" s="29" t="s">
        <v>88</v>
      </c>
      <c r="H4" s="24" t="s">
        <v>54</v>
      </c>
      <c r="I4" s="30" t="s">
        <v>89</v>
      </c>
      <c r="J4" s="31"/>
      <c r="L4" s="23"/>
      <c r="M4" s="23" t="s">
        <v>55</v>
      </c>
      <c r="Q4" s="22"/>
      <c r="R4" s="23"/>
      <c r="S4" s="22" t="s">
        <v>56</v>
      </c>
      <c r="T4" s="22" t="s">
        <v>75</v>
      </c>
      <c r="U4" s="22"/>
      <c r="V4" s="22"/>
      <c r="W4" s="23" t="s">
        <v>90</v>
      </c>
      <c r="X4" s="23" t="s">
        <v>91</v>
      </c>
      <c r="Y4" s="23"/>
      <c r="Z4" s="23" t="s">
        <v>92</v>
      </c>
      <c r="AA4" s="23"/>
      <c r="AB4" s="23" t="s">
        <v>93</v>
      </c>
      <c r="AC4" s="23" t="s">
        <v>94</v>
      </c>
      <c r="AD4" s="23" t="s">
        <v>95</v>
      </c>
      <c r="AE4" s="23" t="s">
        <v>96</v>
      </c>
      <c r="AF4" s="32" t="s">
        <v>97</v>
      </c>
      <c r="AG4" s="23" t="s">
        <v>98</v>
      </c>
      <c r="AH4" s="23" t="s">
        <v>99</v>
      </c>
      <c r="AI4" s="23"/>
      <c r="AJ4" s="23"/>
      <c r="AK4" s="23" t="s">
        <v>100</v>
      </c>
      <c r="AL4" s="23"/>
      <c r="AM4" s="23"/>
      <c r="AN4" s="23"/>
      <c r="AO4" s="23"/>
      <c r="AP4" s="27">
        <v>33483</v>
      </c>
      <c r="AQ4" s="27">
        <v>33483</v>
      </c>
      <c r="AR4" s="23" t="s">
        <v>101</v>
      </c>
      <c r="AS4" s="23" t="s">
        <v>102</v>
      </c>
      <c r="AT4" s="23"/>
      <c r="AU4" s="33"/>
      <c r="AV4" s="23"/>
      <c r="AW4" s="23"/>
      <c r="AX4" s="23"/>
      <c r="AY4" s="23"/>
      <c r="AZ4" s="23"/>
    </row>
    <row r="5" spans="1:53" s="26" customFormat="1" x14ac:dyDescent="0.2">
      <c r="A5" s="21">
        <v>2479</v>
      </c>
      <c r="B5" s="23"/>
      <c r="C5" s="23"/>
      <c r="D5" s="28"/>
      <c r="E5" s="22"/>
      <c r="F5" s="34" t="s">
        <v>103</v>
      </c>
      <c r="G5" s="34" t="s">
        <v>103</v>
      </c>
      <c r="H5" s="24" t="s">
        <v>54</v>
      </c>
      <c r="I5" s="22"/>
      <c r="J5" s="31"/>
      <c r="L5" s="22"/>
      <c r="M5" s="23" t="s">
        <v>55</v>
      </c>
      <c r="Q5" s="22"/>
      <c r="R5" s="23"/>
      <c r="S5" s="22" t="s">
        <v>56</v>
      </c>
      <c r="T5" s="22" t="s">
        <v>104</v>
      </c>
      <c r="U5" s="22"/>
      <c r="V5" s="22"/>
      <c r="W5" s="23" t="s">
        <v>58</v>
      </c>
      <c r="X5" s="23" t="s">
        <v>105</v>
      </c>
      <c r="Y5" s="23"/>
      <c r="Z5" s="23" t="s">
        <v>106</v>
      </c>
      <c r="AA5" s="23" t="s">
        <v>107</v>
      </c>
      <c r="AB5" s="23" t="s">
        <v>108</v>
      </c>
      <c r="AC5" s="23" t="s">
        <v>109</v>
      </c>
      <c r="AD5" s="23" t="s">
        <v>110</v>
      </c>
      <c r="AE5" s="23" t="s">
        <v>111</v>
      </c>
      <c r="AF5" s="32" t="s">
        <v>97</v>
      </c>
      <c r="AG5" s="23"/>
      <c r="AH5" s="23"/>
      <c r="AI5" s="23"/>
      <c r="AJ5" s="23"/>
      <c r="AK5" s="23" t="s">
        <v>112</v>
      </c>
      <c r="AL5" s="23"/>
      <c r="AM5" s="23"/>
      <c r="AN5" s="23"/>
      <c r="AO5" s="23" t="s">
        <v>113</v>
      </c>
      <c r="AP5" s="27" t="s">
        <v>114</v>
      </c>
      <c r="AQ5" s="27" t="s">
        <v>115</v>
      </c>
      <c r="AR5" s="23" t="s">
        <v>116</v>
      </c>
      <c r="AS5" s="23" t="s">
        <v>117</v>
      </c>
      <c r="AT5" s="23"/>
      <c r="AU5" s="23"/>
      <c r="AV5" s="23"/>
      <c r="AW5" s="23"/>
      <c r="AX5" s="23"/>
      <c r="AY5" s="23"/>
      <c r="AZ5" s="23"/>
    </row>
    <row r="6" spans="1:53" s="26" customFormat="1" x14ac:dyDescent="0.2">
      <c r="A6" s="35">
        <v>2473</v>
      </c>
      <c r="B6" s="26" t="s">
        <v>118</v>
      </c>
      <c r="E6" s="28"/>
      <c r="F6" s="36" t="s">
        <v>119</v>
      </c>
      <c r="G6" s="36" t="s">
        <v>119</v>
      </c>
      <c r="H6" s="36" t="s">
        <v>120</v>
      </c>
      <c r="I6" s="28" t="s">
        <v>89</v>
      </c>
      <c r="J6" s="31"/>
      <c r="L6" s="28"/>
      <c r="M6" s="26" t="s">
        <v>55</v>
      </c>
      <c r="Q6" s="28"/>
      <c r="S6" s="28" t="s">
        <v>56</v>
      </c>
      <c r="T6" s="28" t="s">
        <v>104</v>
      </c>
      <c r="U6" s="28"/>
      <c r="V6" s="28"/>
      <c r="W6" s="26" t="s">
        <v>121</v>
      </c>
      <c r="X6" s="26" t="s">
        <v>122</v>
      </c>
      <c r="Z6" s="26" t="s">
        <v>123</v>
      </c>
      <c r="AA6" s="28" t="s">
        <v>124</v>
      </c>
      <c r="AB6" s="37"/>
      <c r="AC6" s="37"/>
      <c r="AD6" s="26" t="s">
        <v>125</v>
      </c>
      <c r="AE6" s="26" t="s">
        <v>126</v>
      </c>
      <c r="AF6" s="31" t="s">
        <v>97</v>
      </c>
      <c r="AK6" s="26" t="s">
        <v>127</v>
      </c>
      <c r="AL6" s="26" t="s">
        <v>128</v>
      </c>
      <c r="AO6" s="26" t="s">
        <v>129</v>
      </c>
      <c r="AP6" s="38" t="s">
        <v>130</v>
      </c>
      <c r="AQ6" s="38" t="s">
        <v>130</v>
      </c>
      <c r="AR6" s="26" t="s">
        <v>131</v>
      </c>
      <c r="AT6" s="26" t="s">
        <v>132</v>
      </c>
      <c r="AU6" s="39">
        <v>2450</v>
      </c>
    </row>
    <row r="7" spans="1:53" s="26" customFormat="1" x14ac:dyDescent="0.2">
      <c r="A7" s="35">
        <v>2472</v>
      </c>
      <c r="B7" s="28" t="s">
        <v>133</v>
      </c>
      <c r="C7" s="28" t="s">
        <v>134</v>
      </c>
      <c r="E7" s="28"/>
      <c r="F7" s="36" t="s">
        <v>135</v>
      </c>
      <c r="G7" s="36" t="s">
        <v>135</v>
      </c>
      <c r="H7" s="36" t="s">
        <v>120</v>
      </c>
      <c r="I7" s="28"/>
      <c r="J7" s="31"/>
      <c r="L7" s="28"/>
      <c r="M7" s="26" t="s">
        <v>55</v>
      </c>
      <c r="Q7" s="28"/>
      <c r="S7" s="28" t="s">
        <v>56</v>
      </c>
      <c r="T7" s="28" t="s">
        <v>136</v>
      </c>
      <c r="U7" s="28"/>
      <c r="V7" s="28"/>
      <c r="W7" s="26" t="s">
        <v>121</v>
      </c>
      <c r="X7" s="26" t="s">
        <v>122</v>
      </c>
      <c r="Z7" s="26" t="s">
        <v>123</v>
      </c>
      <c r="AA7" s="28" t="s">
        <v>124</v>
      </c>
      <c r="AB7" s="37" t="s">
        <v>137</v>
      </c>
      <c r="AC7" s="37" t="s">
        <v>138</v>
      </c>
      <c r="AD7" s="26" t="s">
        <v>139</v>
      </c>
      <c r="AE7" s="26" t="s">
        <v>140</v>
      </c>
      <c r="AF7" s="31" t="s">
        <v>97</v>
      </c>
      <c r="AK7" s="26" t="s">
        <v>141</v>
      </c>
      <c r="AL7" s="26" t="s">
        <v>128</v>
      </c>
      <c r="AO7" s="26" t="s">
        <v>129</v>
      </c>
      <c r="AP7" s="38">
        <v>28460</v>
      </c>
      <c r="AQ7" s="38">
        <v>28463</v>
      </c>
      <c r="AR7" s="26" t="s">
        <v>142</v>
      </c>
      <c r="AS7" s="26" t="s">
        <v>143</v>
      </c>
      <c r="AU7" s="39"/>
    </row>
    <row r="8" spans="1:53" s="26" customFormat="1" x14ac:dyDescent="0.2">
      <c r="A8" s="21">
        <v>2471</v>
      </c>
      <c r="B8" s="23" t="s">
        <v>144</v>
      </c>
      <c r="C8" s="24"/>
      <c r="D8" s="40"/>
      <c r="E8" s="41" t="s">
        <v>145</v>
      </c>
      <c r="F8" s="29" t="s">
        <v>146</v>
      </c>
      <c r="G8" s="29" t="s">
        <v>146</v>
      </c>
      <c r="H8" s="24" t="s">
        <v>54</v>
      </c>
      <c r="I8" s="22" t="s">
        <v>89</v>
      </c>
      <c r="J8" s="31"/>
      <c r="L8" s="22"/>
      <c r="M8" s="23" t="s">
        <v>55</v>
      </c>
      <c r="Q8" s="22"/>
      <c r="R8" s="23"/>
      <c r="S8" s="22" t="s">
        <v>147</v>
      </c>
      <c r="T8" s="22" t="s">
        <v>57</v>
      </c>
      <c r="U8" s="22"/>
      <c r="V8" s="22"/>
      <c r="W8" s="23" t="s">
        <v>58</v>
      </c>
      <c r="X8" s="24" t="s">
        <v>59</v>
      </c>
      <c r="Y8" s="23" t="s">
        <v>59</v>
      </c>
      <c r="Z8" s="24" t="s">
        <v>148</v>
      </c>
      <c r="AA8" s="24"/>
      <c r="AB8" s="41" t="s">
        <v>149</v>
      </c>
      <c r="AC8" s="41" t="s">
        <v>150</v>
      </c>
      <c r="AD8" s="24" t="s">
        <v>151</v>
      </c>
      <c r="AE8" s="24" t="s">
        <v>152</v>
      </c>
      <c r="AF8" s="32" t="s">
        <v>97</v>
      </c>
      <c r="AG8" s="23" t="s">
        <v>153</v>
      </c>
      <c r="AH8" s="23" t="s">
        <v>154</v>
      </c>
      <c r="AI8" s="23" t="s">
        <v>155</v>
      </c>
      <c r="AJ8" s="23"/>
      <c r="AK8" s="23" t="s">
        <v>156</v>
      </c>
      <c r="AL8" s="23"/>
      <c r="AM8" s="23"/>
      <c r="AN8" s="23" t="s">
        <v>157</v>
      </c>
      <c r="AO8" s="23" t="s">
        <v>158</v>
      </c>
      <c r="AP8" s="27" t="s">
        <v>159</v>
      </c>
      <c r="AQ8" s="27" t="s">
        <v>159</v>
      </c>
      <c r="AR8" s="23" t="s">
        <v>160</v>
      </c>
      <c r="AS8" s="23" t="s">
        <v>70</v>
      </c>
      <c r="AT8" s="23" t="s">
        <v>161</v>
      </c>
      <c r="AU8" s="33"/>
      <c r="AV8" s="23"/>
      <c r="AW8" s="23" t="s">
        <v>162</v>
      </c>
      <c r="AX8" s="23"/>
      <c r="AY8" s="23"/>
      <c r="AZ8" s="23"/>
    </row>
    <row r="9" spans="1:53" s="26" customFormat="1" x14ac:dyDescent="0.2">
      <c r="A9" s="21">
        <v>2470</v>
      </c>
      <c r="B9" s="23" t="s">
        <v>163</v>
      </c>
      <c r="C9" s="24"/>
      <c r="D9" s="24" t="s">
        <v>164</v>
      </c>
      <c r="E9" s="22"/>
      <c r="F9" s="34" t="s">
        <v>165</v>
      </c>
      <c r="G9" s="34" t="s">
        <v>165</v>
      </c>
      <c r="H9" s="24" t="s">
        <v>54</v>
      </c>
      <c r="I9" s="22"/>
      <c r="J9" s="31"/>
      <c r="L9" s="22"/>
      <c r="M9" s="23" t="s">
        <v>55</v>
      </c>
      <c r="Q9" s="22"/>
      <c r="R9" s="23"/>
      <c r="S9" s="22" t="s">
        <v>147</v>
      </c>
      <c r="T9" s="22" t="s">
        <v>75</v>
      </c>
      <c r="U9" s="22"/>
      <c r="V9" s="22"/>
      <c r="W9" s="23" t="s">
        <v>90</v>
      </c>
      <c r="X9" s="23" t="s">
        <v>166</v>
      </c>
      <c r="Y9" s="23"/>
      <c r="Z9" s="23" t="s">
        <v>167</v>
      </c>
      <c r="AA9" s="23" t="s">
        <v>107</v>
      </c>
      <c r="AB9" s="23" t="s">
        <v>168</v>
      </c>
      <c r="AC9" s="23" t="s">
        <v>169</v>
      </c>
      <c r="AD9" s="23" t="s">
        <v>170</v>
      </c>
      <c r="AE9" s="23" t="s">
        <v>171</v>
      </c>
      <c r="AF9" s="32" t="s">
        <v>97</v>
      </c>
      <c r="AG9" s="23" t="s">
        <v>172</v>
      </c>
      <c r="AH9" s="23"/>
      <c r="AI9" s="23"/>
      <c r="AJ9" s="23"/>
      <c r="AK9" s="23" t="s">
        <v>173</v>
      </c>
      <c r="AL9" s="23"/>
      <c r="AM9" s="23"/>
      <c r="AN9" s="23"/>
      <c r="AO9" s="23"/>
      <c r="AP9" s="42">
        <v>35627</v>
      </c>
      <c r="AQ9" s="42">
        <v>35627</v>
      </c>
      <c r="AR9" s="43" t="s">
        <v>174</v>
      </c>
      <c r="AS9" s="23" t="s">
        <v>175</v>
      </c>
      <c r="AT9" s="23"/>
      <c r="AU9" s="33"/>
      <c r="AV9" s="23"/>
      <c r="AW9" s="23"/>
      <c r="AX9" s="23"/>
      <c r="AY9" s="23"/>
      <c r="AZ9" s="23"/>
    </row>
    <row r="10" spans="1:53" s="26" customFormat="1" x14ac:dyDescent="0.2">
      <c r="A10" s="21">
        <v>2469</v>
      </c>
      <c r="B10" s="23" t="s">
        <v>176</v>
      </c>
      <c r="C10" s="24"/>
      <c r="E10" s="22"/>
      <c r="F10" s="29" t="s">
        <v>177</v>
      </c>
      <c r="G10" s="29" t="s">
        <v>177</v>
      </c>
      <c r="H10" s="24" t="s">
        <v>54</v>
      </c>
      <c r="I10" s="22" t="s">
        <v>89</v>
      </c>
      <c r="J10" s="31"/>
      <c r="L10" s="22"/>
      <c r="M10" s="23" t="s">
        <v>55</v>
      </c>
      <c r="Q10" s="22"/>
      <c r="R10" s="23"/>
      <c r="S10" s="22" t="s">
        <v>147</v>
      </c>
      <c r="T10" s="22" t="s">
        <v>75</v>
      </c>
      <c r="U10" s="22"/>
      <c r="V10" s="44" t="s">
        <v>178</v>
      </c>
      <c r="W10" s="23" t="s">
        <v>90</v>
      </c>
      <c r="X10" s="23" t="s">
        <v>166</v>
      </c>
      <c r="Y10" s="23"/>
      <c r="Z10" s="23" t="s">
        <v>167</v>
      </c>
      <c r="AA10" s="23"/>
      <c r="AB10" s="23" t="s">
        <v>179</v>
      </c>
      <c r="AC10" s="23" t="s">
        <v>180</v>
      </c>
      <c r="AD10" s="23" t="s">
        <v>170</v>
      </c>
      <c r="AE10" s="23" t="s">
        <v>171</v>
      </c>
      <c r="AF10" s="32" t="s">
        <v>97</v>
      </c>
      <c r="AG10" s="23" t="s">
        <v>181</v>
      </c>
      <c r="AH10" s="23"/>
      <c r="AI10" s="23"/>
      <c r="AJ10" s="23"/>
      <c r="AK10" s="23" t="s">
        <v>182</v>
      </c>
      <c r="AL10" s="23"/>
      <c r="AM10" s="23"/>
      <c r="AN10" s="23"/>
      <c r="AO10" s="23"/>
      <c r="AP10" s="27">
        <v>34175</v>
      </c>
      <c r="AQ10" s="27">
        <v>34175</v>
      </c>
      <c r="AR10" s="23" t="s">
        <v>183</v>
      </c>
      <c r="AS10" s="23" t="s">
        <v>175</v>
      </c>
      <c r="AT10" s="23"/>
      <c r="AU10" s="33"/>
      <c r="AV10" s="23"/>
      <c r="AW10" s="23"/>
      <c r="AX10" s="23"/>
      <c r="AY10" s="23"/>
      <c r="AZ10" s="23"/>
    </row>
    <row r="11" spans="1:53" s="26" customFormat="1" x14ac:dyDescent="0.2">
      <c r="A11" s="35">
        <v>2468</v>
      </c>
      <c r="D11" s="28"/>
      <c r="E11" s="28" t="s">
        <v>184</v>
      </c>
      <c r="F11" s="36" t="s">
        <v>185</v>
      </c>
      <c r="G11" s="36" t="s">
        <v>185</v>
      </c>
      <c r="H11" s="36" t="s">
        <v>120</v>
      </c>
      <c r="I11" s="28"/>
      <c r="J11" s="31"/>
      <c r="L11" s="28"/>
      <c r="M11" s="26" t="s">
        <v>55</v>
      </c>
      <c r="Q11" s="28"/>
      <c r="S11" s="28" t="s">
        <v>56</v>
      </c>
      <c r="T11" s="28" t="s">
        <v>186</v>
      </c>
      <c r="U11" s="28"/>
      <c r="V11" s="28"/>
      <c r="W11" s="26" t="s">
        <v>187</v>
      </c>
      <c r="X11" s="26" t="s">
        <v>188</v>
      </c>
      <c r="Z11" s="26" t="s">
        <v>189</v>
      </c>
      <c r="AA11" s="45" t="s">
        <v>107</v>
      </c>
      <c r="AB11" s="26" t="s">
        <v>190</v>
      </c>
      <c r="AC11" s="26" t="s">
        <v>191</v>
      </c>
      <c r="AD11" s="26" t="s">
        <v>192</v>
      </c>
      <c r="AE11" s="26" t="s">
        <v>193</v>
      </c>
      <c r="AF11" s="31" t="s">
        <v>97</v>
      </c>
      <c r="AK11" s="26" t="s">
        <v>194</v>
      </c>
      <c r="AO11" s="26" t="s">
        <v>195</v>
      </c>
      <c r="AP11" s="38" t="s">
        <v>196</v>
      </c>
      <c r="AQ11" s="38" t="s">
        <v>197</v>
      </c>
      <c r="AR11" s="26" t="s">
        <v>198</v>
      </c>
      <c r="AS11" s="26" t="s">
        <v>199</v>
      </c>
      <c r="AT11" s="26" t="s">
        <v>132</v>
      </c>
      <c r="AU11" s="39"/>
      <c r="AW11" s="26" t="s">
        <v>200</v>
      </c>
    </row>
    <row r="12" spans="1:53" s="26" customFormat="1" x14ac:dyDescent="0.2">
      <c r="A12" s="35">
        <v>2414</v>
      </c>
      <c r="D12" s="28"/>
      <c r="E12" s="28" t="s">
        <v>184</v>
      </c>
      <c r="F12" s="36" t="s">
        <v>201</v>
      </c>
      <c r="G12" s="36" t="s">
        <v>201</v>
      </c>
      <c r="H12" s="36" t="s">
        <v>202</v>
      </c>
      <c r="I12" s="28"/>
      <c r="J12" s="31"/>
      <c r="L12" s="28"/>
      <c r="M12" s="26" t="s">
        <v>55</v>
      </c>
      <c r="Q12" s="28"/>
      <c r="S12" s="28" t="s">
        <v>56</v>
      </c>
      <c r="T12" s="28" t="s">
        <v>203</v>
      </c>
      <c r="U12" s="28"/>
      <c r="V12" s="28"/>
      <c r="W12" s="26" t="s">
        <v>187</v>
      </c>
      <c r="X12" s="26" t="s">
        <v>77</v>
      </c>
      <c r="Z12" s="26" t="s">
        <v>204</v>
      </c>
      <c r="AA12" s="45" t="s">
        <v>107</v>
      </c>
      <c r="AB12" s="26" t="s">
        <v>205</v>
      </c>
      <c r="AC12" s="26" t="s">
        <v>206</v>
      </c>
      <c r="AD12" s="26" t="s">
        <v>207</v>
      </c>
      <c r="AE12" s="26" t="s">
        <v>208</v>
      </c>
      <c r="AF12" s="31" t="s">
        <v>97</v>
      </c>
      <c r="AH12" s="26" t="s">
        <v>209</v>
      </c>
      <c r="AK12" s="26" t="s">
        <v>210</v>
      </c>
      <c r="AN12" s="26" t="s">
        <v>211</v>
      </c>
      <c r="AP12" s="38">
        <v>41180</v>
      </c>
      <c r="AQ12" s="38">
        <v>41180</v>
      </c>
      <c r="AR12" s="26" t="s">
        <v>212</v>
      </c>
      <c r="AS12" s="26" t="s">
        <v>213</v>
      </c>
      <c r="AT12" s="26" t="s">
        <v>132</v>
      </c>
      <c r="AU12" s="39"/>
      <c r="AZ12" s="23"/>
    </row>
    <row r="13" spans="1:53" s="26" customFormat="1" x14ac:dyDescent="0.2">
      <c r="A13" s="35">
        <v>1995</v>
      </c>
      <c r="C13" s="26" t="s">
        <v>134</v>
      </c>
      <c r="E13" s="28"/>
      <c r="F13" s="36" t="s">
        <v>214</v>
      </c>
      <c r="G13" s="36" t="s">
        <v>214</v>
      </c>
      <c r="H13" s="36" t="s">
        <v>120</v>
      </c>
      <c r="I13" s="28"/>
      <c r="J13" s="31"/>
      <c r="L13" s="28"/>
      <c r="M13" s="26" t="s">
        <v>55</v>
      </c>
      <c r="Q13" s="28"/>
      <c r="S13" s="28" t="s">
        <v>56</v>
      </c>
      <c r="T13" s="28" t="s">
        <v>215</v>
      </c>
      <c r="U13" s="28"/>
      <c r="V13" s="28"/>
      <c r="W13" s="26" t="s">
        <v>187</v>
      </c>
      <c r="X13" s="26" t="s">
        <v>188</v>
      </c>
      <c r="Z13" s="26" t="s">
        <v>216</v>
      </c>
      <c r="AA13" s="28" t="s">
        <v>124</v>
      </c>
      <c r="AB13" s="37" t="s">
        <v>217</v>
      </c>
      <c r="AC13" s="37" t="s">
        <v>218</v>
      </c>
      <c r="AD13" s="26" t="s">
        <v>219</v>
      </c>
      <c r="AE13" s="26" t="s">
        <v>220</v>
      </c>
      <c r="AF13" s="31" t="s">
        <v>97</v>
      </c>
      <c r="AK13" s="26" t="s">
        <v>221</v>
      </c>
      <c r="AP13" s="38" t="s">
        <v>222</v>
      </c>
      <c r="AQ13" s="38" t="s">
        <v>223</v>
      </c>
      <c r="AR13" s="26" t="s">
        <v>224</v>
      </c>
      <c r="AU13" s="39"/>
    </row>
    <row r="14" spans="1:53" s="26" customFormat="1" x14ac:dyDescent="0.2">
      <c r="A14" s="21">
        <v>550</v>
      </c>
      <c r="B14" s="23" t="s">
        <v>225</v>
      </c>
      <c r="C14" s="23"/>
      <c r="E14" s="22"/>
      <c r="F14" s="29" t="s">
        <v>226</v>
      </c>
      <c r="G14" s="29" t="s">
        <v>227</v>
      </c>
      <c r="H14" s="24" t="s">
        <v>54</v>
      </c>
      <c r="I14" s="22" t="s">
        <v>89</v>
      </c>
      <c r="J14" s="31"/>
      <c r="L14" s="22" t="s">
        <v>228</v>
      </c>
      <c r="M14" s="23" t="s">
        <v>55</v>
      </c>
      <c r="Q14" s="23" t="s">
        <v>229</v>
      </c>
      <c r="R14" s="23"/>
      <c r="S14" s="22" t="s">
        <v>56</v>
      </c>
      <c r="T14" s="23" t="s">
        <v>104</v>
      </c>
      <c r="U14" s="23"/>
      <c r="V14" s="23"/>
      <c r="W14" s="23" t="s">
        <v>90</v>
      </c>
      <c r="X14" s="23" t="s">
        <v>230</v>
      </c>
      <c r="Y14" s="23"/>
      <c r="Z14" s="23" t="s">
        <v>231</v>
      </c>
      <c r="AA14" s="23"/>
      <c r="AB14" s="23"/>
      <c r="AC14" s="23"/>
      <c r="AD14" s="23" t="s">
        <v>232</v>
      </c>
      <c r="AE14" s="23" t="s">
        <v>233</v>
      </c>
      <c r="AF14" s="32" t="s">
        <v>97</v>
      </c>
      <c r="AG14" s="23"/>
      <c r="AH14" s="23"/>
      <c r="AI14" s="23" t="s">
        <v>234</v>
      </c>
      <c r="AJ14" s="23"/>
      <c r="AK14" s="23" t="s">
        <v>235</v>
      </c>
      <c r="AL14" s="23"/>
      <c r="AM14" s="23"/>
      <c r="AN14" s="23"/>
      <c r="AO14" s="23" t="s">
        <v>236</v>
      </c>
      <c r="AP14" s="27" t="s">
        <v>237</v>
      </c>
      <c r="AQ14" s="27" t="s">
        <v>237</v>
      </c>
      <c r="AR14" s="23" t="s">
        <v>238</v>
      </c>
      <c r="AS14" s="23" t="s">
        <v>239</v>
      </c>
      <c r="AT14" s="23"/>
      <c r="AU14" s="23"/>
      <c r="AV14" s="23"/>
      <c r="AW14" s="23" t="s">
        <v>226</v>
      </c>
      <c r="AX14" s="23"/>
      <c r="AY14" s="23"/>
      <c r="AZ14" s="23"/>
    </row>
    <row r="15" spans="1:53" s="26" customFormat="1" x14ac:dyDescent="0.2">
      <c r="A15" s="21">
        <v>549</v>
      </c>
      <c r="B15" s="23"/>
      <c r="C15" s="25"/>
      <c r="D15" s="28"/>
      <c r="E15" s="22"/>
      <c r="F15" s="34" t="s">
        <v>240</v>
      </c>
      <c r="G15" s="34" t="s">
        <v>241</v>
      </c>
      <c r="H15" s="34" t="s">
        <v>120</v>
      </c>
      <c r="I15" s="22"/>
      <c r="J15" s="31"/>
      <c r="L15" s="22" t="s">
        <v>228</v>
      </c>
      <c r="M15" s="23" t="s">
        <v>55</v>
      </c>
      <c r="Q15" s="22" t="s">
        <v>242</v>
      </c>
      <c r="R15" s="23"/>
      <c r="S15" s="22" t="s">
        <v>56</v>
      </c>
      <c r="T15" s="22" t="s">
        <v>75</v>
      </c>
      <c r="U15" s="22"/>
      <c r="V15" s="22"/>
      <c r="W15" s="23" t="s">
        <v>90</v>
      </c>
      <c r="X15" s="23" t="s">
        <v>230</v>
      </c>
      <c r="Y15" s="23"/>
      <c r="Z15" s="23" t="s">
        <v>243</v>
      </c>
      <c r="AA15" s="22" t="s">
        <v>124</v>
      </c>
      <c r="AB15" s="37"/>
      <c r="AC15" s="37"/>
      <c r="AD15" s="23" t="s">
        <v>244</v>
      </c>
      <c r="AE15" s="23" t="s">
        <v>245</v>
      </c>
      <c r="AF15" s="32" t="s">
        <v>97</v>
      </c>
      <c r="AG15" s="23"/>
      <c r="AH15" s="23"/>
      <c r="AI15" s="23" t="s">
        <v>234</v>
      </c>
      <c r="AJ15" s="23"/>
      <c r="AK15" s="23" t="s">
        <v>246</v>
      </c>
      <c r="AL15" s="23"/>
      <c r="AM15" s="23"/>
      <c r="AN15" s="23"/>
      <c r="AO15" s="23" t="s">
        <v>247</v>
      </c>
      <c r="AP15" s="27" t="s">
        <v>248</v>
      </c>
      <c r="AQ15" s="27" t="s">
        <v>248</v>
      </c>
      <c r="AR15" s="23" t="s">
        <v>249</v>
      </c>
      <c r="AS15" s="23" t="s">
        <v>239</v>
      </c>
      <c r="AT15" s="23"/>
      <c r="AU15" s="23"/>
      <c r="AV15" s="23"/>
      <c r="AW15" s="23" t="s">
        <v>240</v>
      </c>
      <c r="AX15" s="23"/>
      <c r="AY15" s="23"/>
      <c r="AZ15" s="23"/>
    </row>
    <row r="16" spans="1:53" s="26" customFormat="1" x14ac:dyDescent="0.2">
      <c r="A16" s="21">
        <v>545</v>
      </c>
      <c r="B16" s="23"/>
      <c r="C16" s="23"/>
      <c r="D16" s="28"/>
      <c r="E16" s="22"/>
      <c r="F16" s="34" t="s">
        <v>250</v>
      </c>
      <c r="G16" s="34" t="s">
        <v>251</v>
      </c>
      <c r="H16" s="24" t="s">
        <v>54</v>
      </c>
      <c r="I16" s="22"/>
      <c r="J16" s="31"/>
      <c r="L16" s="22"/>
      <c r="M16" s="23" t="s">
        <v>55</v>
      </c>
      <c r="Q16" s="22"/>
      <c r="R16" s="23"/>
      <c r="S16" s="22" t="s">
        <v>56</v>
      </c>
      <c r="T16" s="22" t="s">
        <v>104</v>
      </c>
      <c r="U16" s="22"/>
      <c r="V16" s="22"/>
      <c r="W16" s="23" t="s">
        <v>90</v>
      </c>
      <c r="X16" s="23" t="s">
        <v>252</v>
      </c>
      <c r="Y16" s="23"/>
      <c r="Z16" s="23" t="s">
        <v>253</v>
      </c>
      <c r="AA16" s="22" t="s">
        <v>124</v>
      </c>
      <c r="AB16" s="37"/>
      <c r="AC16" s="37"/>
      <c r="AD16" s="23" t="s">
        <v>254</v>
      </c>
      <c r="AE16" s="23" t="s">
        <v>255</v>
      </c>
      <c r="AF16" s="32" t="s">
        <v>97</v>
      </c>
      <c r="AG16" s="23"/>
      <c r="AH16" s="23"/>
      <c r="AI16" s="23" t="s">
        <v>234</v>
      </c>
      <c r="AJ16" s="23"/>
      <c r="AK16" s="23" t="s">
        <v>256</v>
      </c>
      <c r="AL16" s="23"/>
      <c r="AM16" s="23"/>
      <c r="AN16" s="23"/>
      <c r="AO16" s="23" t="s">
        <v>257</v>
      </c>
      <c r="AP16" s="27" t="s">
        <v>258</v>
      </c>
      <c r="AQ16" s="27" t="s">
        <v>258</v>
      </c>
      <c r="AR16" s="23" t="s">
        <v>259</v>
      </c>
      <c r="AS16" s="23" t="s">
        <v>260</v>
      </c>
      <c r="AT16" s="23"/>
      <c r="AU16" s="23"/>
      <c r="AV16" s="23"/>
      <c r="AW16" s="23" t="s">
        <v>250</v>
      </c>
      <c r="AX16" s="23" t="s">
        <v>261</v>
      </c>
      <c r="AY16" s="23"/>
      <c r="AZ16" s="23"/>
    </row>
    <row r="17" spans="1:52" s="26" customFormat="1" x14ac:dyDescent="0.2">
      <c r="A17" s="35">
        <v>540</v>
      </c>
      <c r="D17" s="28"/>
      <c r="E17" s="28"/>
      <c r="F17" s="36" t="s">
        <v>262</v>
      </c>
      <c r="G17" s="36" t="s">
        <v>263</v>
      </c>
      <c r="H17" s="25" t="s">
        <v>264</v>
      </c>
      <c r="I17" s="28" t="s">
        <v>265</v>
      </c>
      <c r="J17" s="31"/>
      <c r="L17" s="28" t="s">
        <v>228</v>
      </c>
      <c r="M17" s="26" t="s">
        <v>55</v>
      </c>
      <c r="Q17" s="28" t="s">
        <v>242</v>
      </c>
      <c r="S17" s="28" t="s">
        <v>56</v>
      </c>
      <c r="T17" s="46" t="s">
        <v>266</v>
      </c>
      <c r="U17" s="46"/>
      <c r="V17" s="46"/>
      <c r="W17" s="26" t="s">
        <v>90</v>
      </c>
      <c r="X17" s="26" t="s">
        <v>252</v>
      </c>
      <c r="Z17" s="26" t="s">
        <v>243</v>
      </c>
      <c r="AA17" s="45" t="s">
        <v>107</v>
      </c>
      <c r="AB17" s="45">
        <v>10.905279</v>
      </c>
      <c r="AC17" s="45">
        <v>-85.278818999999999</v>
      </c>
      <c r="AD17" s="45">
        <v>10.905279</v>
      </c>
      <c r="AE17" s="45">
        <v>-85.278818999999999</v>
      </c>
      <c r="AF17" s="31" t="s">
        <v>97</v>
      </c>
      <c r="AI17" s="26" t="s">
        <v>234</v>
      </c>
      <c r="AK17" s="26" t="s">
        <v>267</v>
      </c>
      <c r="AO17" s="26" t="s">
        <v>247</v>
      </c>
      <c r="AP17" s="38" t="s">
        <v>268</v>
      </c>
      <c r="AQ17" s="38" t="s">
        <v>268</v>
      </c>
      <c r="AR17" s="26" t="s">
        <v>269</v>
      </c>
      <c r="AS17" s="26" t="s">
        <v>270</v>
      </c>
      <c r="AW17" s="26" t="s">
        <v>262</v>
      </c>
      <c r="AX17" s="26" t="s">
        <v>261</v>
      </c>
    </row>
    <row r="18" spans="1:52" s="26" customFormat="1" x14ac:dyDescent="0.2">
      <c r="A18" s="35">
        <v>539</v>
      </c>
      <c r="D18" s="28"/>
      <c r="E18" s="28"/>
      <c r="F18" s="36" t="s">
        <v>271</v>
      </c>
      <c r="G18" s="36" t="s">
        <v>272</v>
      </c>
      <c r="H18" s="25" t="s">
        <v>264</v>
      </c>
      <c r="I18" s="28" t="s">
        <v>89</v>
      </c>
      <c r="J18" s="31"/>
      <c r="L18" s="28" t="s">
        <v>228</v>
      </c>
      <c r="M18" s="26" t="s">
        <v>55</v>
      </c>
      <c r="Q18" s="28" t="s">
        <v>242</v>
      </c>
      <c r="S18" s="28" t="s">
        <v>56</v>
      </c>
      <c r="T18" s="28" t="s">
        <v>75</v>
      </c>
      <c r="U18" s="28"/>
      <c r="V18" s="28"/>
      <c r="W18" s="26" t="s">
        <v>90</v>
      </c>
      <c r="X18" s="26" t="s">
        <v>252</v>
      </c>
      <c r="Z18" s="26" t="s">
        <v>231</v>
      </c>
      <c r="AA18" s="45" t="s">
        <v>107</v>
      </c>
      <c r="AB18" s="45">
        <v>10.89678</v>
      </c>
      <c r="AC18" s="45">
        <v>-85.270009999999999</v>
      </c>
      <c r="AD18" s="45">
        <v>10.89678</v>
      </c>
      <c r="AE18" s="45">
        <v>-85.270009999999999</v>
      </c>
      <c r="AF18" s="31" t="s">
        <v>97</v>
      </c>
      <c r="AI18" s="26" t="s">
        <v>234</v>
      </c>
      <c r="AK18" s="26" t="s">
        <v>273</v>
      </c>
      <c r="AO18" s="26" t="s">
        <v>236</v>
      </c>
      <c r="AP18" s="38" t="s">
        <v>274</v>
      </c>
      <c r="AQ18" s="38" t="s">
        <v>274</v>
      </c>
      <c r="AR18" s="26" t="s">
        <v>275</v>
      </c>
      <c r="AS18" s="26" t="s">
        <v>239</v>
      </c>
      <c r="AW18" s="26" t="s">
        <v>271</v>
      </c>
      <c r="AX18" s="26" t="s">
        <v>261</v>
      </c>
    </row>
    <row r="19" spans="1:52" s="26" customFormat="1" x14ac:dyDescent="0.2">
      <c r="A19" s="35">
        <v>538</v>
      </c>
      <c r="D19" s="28"/>
      <c r="E19" s="28"/>
      <c r="F19" s="36" t="s">
        <v>276</v>
      </c>
      <c r="G19" s="36" t="s">
        <v>277</v>
      </c>
      <c r="H19" s="25" t="s">
        <v>264</v>
      </c>
      <c r="I19" s="28"/>
      <c r="J19" s="31"/>
      <c r="L19" s="28" t="s">
        <v>228</v>
      </c>
      <c r="M19" s="26" t="s">
        <v>55</v>
      </c>
      <c r="Q19" s="28" t="s">
        <v>242</v>
      </c>
      <c r="S19" s="28" t="s">
        <v>56</v>
      </c>
      <c r="T19" s="28" t="s">
        <v>104</v>
      </c>
      <c r="U19" s="28"/>
      <c r="V19" s="28"/>
      <c r="W19" s="26" t="s">
        <v>90</v>
      </c>
      <c r="X19" s="26" t="s">
        <v>252</v>
      </c>
      <c r="Z19" s="26" t="s">
        <v>278</v>
      </c>
      <c r="AA19" s="45" t="s">
        <v>107</v>
      </c>
      <c r="AB19" s="45">
        <v>10.900370000000001</v>
      </c>
      <c r="AC19" s="45">
        <v>-85.372540000000001</v>
      </c>
      <c r="AD19" s="45">
        <v>10.900370000000001</v>
      </c>
      <c r="AE19" s="45">
        <v>-85.372540000000001</v>
      </c>
      <c r="AF19" s="31" t="s">
        <v>97</v>
      </c>
      <c r="AI19" s="26" t="s">
        <v>234</v>
      </c>
      <c r="AK19" s="26" t="s">
        <v>279</v>
      </c>
      <c r="AO19" s="26" t="s">
        <v>280</v>
      </c>
      <c r="AP19" s="38" t="s">
        <v>281</v>
      </c>
      <c r="AQ19" s="38" t="s">
        <v>281</v>
      </c>
      <c r="AR19" s="26" t="s">
        <v>282</v>
      </c>
      <c r="AS19" s="26" t="s">
        <v>283</v>
      </c>
      <c r="AW19" s="26" t="s">
        <v>276</v>
      </c>
      <c r="AX19" s="26" t="s">
        <v>284</v>
      </c>
    </row>
    <row r="20" spans="1:52" s="26" customFormat="1" x14ac:dyDescent="0.2">
      <c r="A20" s="35">
        <v>537</v>
      </c>
      <c r="D20" s="28"/>
      <c r="E20" s="28"/>
      <c r="F20" s="36" t="s">
        <v>285</v>
      </c>
      <c r="G20" s="36" t="s">
        <v>286</v>
      </c>
      <c r="H20" s="25" t="s">
        <v>264</v>
      </c>
      <c r="I20" s="28"/>
      <c r="J20" s="31"/>
      <c r="L20" s="28" t="s">
        <v>228</v>
      </c>
      <c r="M20" s="26" t="s">
        <v>55</v>
      </c>
      <c r="Q20" s="28" t="s">
        <v>242</v>
      </c>
      <c r="S20" s="28" t="s">
        <v>56</v>
      </c>
      <c r="T20" s="28" t="s">
        <v>104</v>
      </c>
      <c r="U20" s="28"/>
      <c r="V20" s="28"/>
      <c r="W20" s="26" t="s">
        <v>90</v>
      </c>
      <c r="X20" s="26" t="s">
        <v>252</v>
      </c>
      <c r="Z20" s="26" t="s">
        <v>231</v>
      </c>
      <c r="AA20" s="45" t="s">
        <v>107</v>
      </c>
      <c r="AB20" s="45">
        <v>10.89678</v>
      </c>
      <c r="AC20" s="45">
        <v>-85.270009999999999</v>
      </c>
      <c r="AD20" s="45">
        <v>10.89678</v>
      </c>
      <c r="AE20" s="45">
        <v>-85.270009999999999</v>
      </c>
      <c r="AF20" s="31" t="s">
        <v>97</v>
      </c>
      <c r="AI20" s="26" t="s">
        <v>234</v>
      </c>
      <c r="AK20" s="26" t="s">
        <v>287</v>
      </c>
      <c r="AO20" s="26" t="s">
        <v>236</v>
      </c>
      <c r="AP20" s="38" t="s">
        <v>288</v>
      </c>
      <c r="AQ20" s="38" t="s">
        <v>288</v>
      </c>
      <c r="AR20" s="26" t="s">
        <v>289</v>
      </c>
      <c r="AS20" s="26" t="s">
        <v>239</v>
      </c>
      <c r="AW20" s="26" t="s">
        <v>285</v>
      </c>
      <c r="AX20" s="26" t="s">
        <v>290</v>
      </c>
    </row>
    <row r="21" spans="1:52" s="26" customFormat="1" x14ac:dyDescent="0.2">
      <c r="A21" s="21">
        <v>523</v>
      </c>
      <c r="B21" s="23"/>
      <c r="C21" s="23"/>
      <c r="D21" s="28"/>
      <c r="E21" s="22"/>
      <c r="F21" s="34" t="s">
        <v>291</v>
      </c>
      <c r="G21" s="34" t="s">
        <v>292</v>
      </c>
      <c r="H21" s="24" t="s">
        <v>54</v>
      </c>
      <c r="I21" s="22"/>
      <c r="J21" s="31"/>
      <c r="L21" s="22" t="s">
        <v>228</v>
      </c>
      <c r="M21" s="23" t="s">
        <v>55</v>
      </c>
      <c r="Q21" s="22" t="s">
        <v>242</v>
      </c>
      <c r="R21" s="23"/>
      <c r="S21" s="22" t="s">
        <v>56</v>
      </c>
      <c r="T21" s="28" t="s">
        <v>104</v>
      </c>
      <c r="U21" s="28"/>
      <c r="V21" s="28"/>
      <c r="W21" s="23" t="s">
        <v>90</v>
      </c>
      <c r="X21" s="23" t="s">
        <v>230</v>
      </c>
      <c r="Y21" s="23"/>
      <c r="Z21" s="23" t="s">
        <v>293</v>
      </c>
      <c r="AA21" s="22" t="s">
        <v>124</v>
      </c>
      <c r="AB21" s="37"/>
      <c r="AC21" s="37"/>
      <c r="AD21" s="23" t="s">
        <v>294</v>
      </c>
      <c r="AE21" s="23" t="s">
        <v>295</v>
      </c>
      <c r="AF21" s="32" t="s">
        <v>296</v>
      </c>
      <c r="AG21" s="23" t="s">
        <v>297</v>
      </c>
      <c r="AH21" s="23"/>
      <c r="AI21" s="23" t="s">
        <v>234</v>
      </c>
      <c r="AJ21" s="23"/>
      <c r="AK21" s="23" t="s">
        <v>298</v>
      </c>
      <c r="AL21" s="23"/>
      <c r="AM21" s="23"/>
      <c r="AN21" s="23"/>
      <c r="AO21" s="23" t="s">
        <v>299</v>
      </c>
      <c r="AP21" s="27" t="s">
        <v>300</v>
      </c>
      <c r="AQ21" s="27" t="s">
        <v>300</v>
      </c>
      <c r="AR21" s="23" t="s">
        <v>301</v>
      </c>
      <c r="AS21" s="23" t="s">
        <v>302</v>
      </c>
      <c r="AT21" s="23" t="s">
        <v>303</v>
      </c>
      <c r="AU21" s="33"/>
      <c r="AV21" s="23"/>
      <c r="AW21" s="23" t="s">
        <v>291</v>
      </c>
      <c r="AX21" s="23" t="s">
        <v>304</v>
      </c>
      <c r="AY21" s="23"/>
      <c r="AZ21" s="23"/>
    </row>
    <row r="22" spans="1:52" s="26" customFormat="1" x14ac:dyDescent="0.2">
      <c r="A22" s="35">
        <v>522</v>
      </c>
      <c r="C22" s="28" t="s">
        <v>305</v>
      </c>
      <c r="D22" s="28"/>
      <c r="E22" s="28"/>
      <c r="F22" s="47" t="s">
        <v>306</v>
      </c>
      <c r="G22" s="47" t="s">
        <v>307</v>
      </c>
      <c r="H22" s="48" t="s">
        <v>308</v>
      </c>
      <c r="I22" s="28"/>
      <c r="J22" s="31"/>
      <c r="L22" s="28" t="s">
        <v>228</v>
      </c>
      <c r="M22" s="26" t="s">
        <v>55</v>
      </c>
      <c r="Q22" s="28" t="s">
        <v>242</v>
      </c>
      <c r="S22" s="28" t="s">
        <v>56</v>
      </c>
      <c r="T22" s="28" t="s">
        <v>309</v>
      </c>
      <c r="U22" s="28"/>
      <c r="V22" s="28"/>
      <c r="W22" s="26" t="s">
        <v>90</v>
      </c>
      <c r="X22" s="26" t="s">
        <v>252</v>
      </c>
      <c r="Z22" s="26" t="s">
        <v>310</v>
      </c>
      <c r="AD22" s="26" t="s">
        <v>311</v>
      </c>
      <c r="AE22" s="26" t="s">
        <v>312</v>
      </c>
      <c r="AF22" s="31" t="s">
        <v>97</v>
      </c>
      <c r="AI22" s="26" t="s">
        <v>234</v>
      </c>
      <c r="AK22" s="26" t="s">
        <v>313</v>
      </c>
      <c r="AO22" s="26" t="s">
        <v>314</v>
      </c>
      <c r="AP22" s="38" t="s">
        <v>315</v>
      </c>
      <c r="AQ22" s="38" t="s">
        <v>315</v>
      </c>
      <c r="AR22" s="26" t="s">
        <v>316</v>
      </c>
      <c r="AS22" s="26" t="s">
        <v>317</v>
      </c>
      <c r="AW22" s="26" t="s">
        <v>306</v>
      </c>
    </row>
    <row r="23" spans="1:52" s="26" customFormat="1" x14ac:dyDescent="0.2">
      <c r="A23" s="35">
        <v>521</v>
      </c>
      <c r="C23" s="28" t="s">
        <v>305</v>
      </c>
      <c r="D23" s="28"/>
      <c r="E23" s="28"/>
      <c r="F23" s="47" t="s">
        <v>318</v>
      </c>
      <c r="G23" s="47" t="s">
        <v>319</v>
      </c>
      <c r="H23" s="48" t="s">
        <v>308</v>
      </c>
      <c r="I23" s="28"/>
      <c r="J23" s="31"/>
      <c r="L23" s="28" t="s">
        <v>228</v>
      </c>
      <c r="M23" s="26" t="s">
        <v>55</v>
      </c>
      <c r="Q23" s="28" t="s">
        <v>242</v>
      </c>
      <c r="S23" s="28" t="s">
        <v>56</v>
      </c>
      <c r="T23" s="28" t="s">
        <v>309</v>
      </c>
      <c r="U23" s="28"/>
      <c r="V23" s="28"/>
      <c r="W23" s="26" t="s">
        <v>90</v>
      </c>
      <c r="X23" s="26" t="s">
        <v>252</v>
      </c>
      <c r="Z23" s="26" t="s">
        <v>310</v>
      </c>
      <c r="AD23" s="26" t="s">
        <v>311</v>
      </c>
      <c r="AE23" s="26" t="s">
        <v>312</v>
      </c>
      <c r="AF23" s="31" t="s">
        <v>97</v>
      </c>
      <c r="AI23" s="26" t="s">
        <v>234</v>
      </c>
      <c r="AK23" s="26" t="s">
        <v>313</v>
      </c>
      <c r="AO23" s="26" t="s">
        <v>314</v>
      </c>
      <c r="AP23" s="38" t="s">
        <v>315</v>
      </c>
      <c r="AQ23" s="38" t="s">
        <v>315</v>
      </c>
      <c r="AR23" s="26" t="s">
        <v>316</v>
      </c>
      <c r="AS23" s="26" t="s">
        <v>317</v>
      </c>
      <c r="AW23" s="26" t="s">
        <v>318</v>
      </c>
    </row>
    <row r="24" spans="1:52" s="26" customFormat="1" x14ac:dyDescent="0.2">
      <c r="A24" s="35">
        <v>519</v>
      </c>
      <c r="C24" s="25" t="s">
        <v>320</v>
      </c>
      <c r="D24" s="28"/>
      <c r="E24" s="28"/>
      <c r="F24" s="47" t="s">
        <v>321</v>
      </c>
      <c r="G24" s="47" t="s">
        <v>322</v>
      </c>
      <c r="H24" s="48" t="s">
        <v>323</v>
      </c>
      <c r="I24" s="28"/>
      <c r="J24" s="31"/>
      <c r="L24" s="28" t="s">
        <v>228</v>
      </c>
      <c r="M24" s="26" t="s">
        <v>55</v>
      </c>
      <c r="Q24" s="28" t="s">
        <v>242</v>
      </c>
      <c r="S24" s="28" t="s">
        <v>56</v>
      </c>
      <c r="T24" s="28" t="s">
        <v>309</v>
      </c>
      <c r="U24" s="28"/>
      <c r="V24" s="28"/>
      <c r="W24" s="26" t="s">
        <v>90</v>
      </c>
      <c r="X24" s="26" t="s">
        <v>252</v>
      </c>
      <c r="Z24" s="26" t="s">
        <v>324</v>
      </c>
      <c r="AD24" s="26" t="s">
        <v>325</v>
      </c>
      <c r="AE24" s="26" t="s">
        <v>326</v>
      </c>
      <c r="AF24" s="31" t="s">
        <v>97</v>
      </c>
      <c r="AG24" s="26" t="s">
        <v>327</v>
      </c>
      <c r="AI24" s="26" t="s">
        <v>234</v>
      </c>
      <c r="AK24" s="26" t="s">
        <v>328</v>
      </c>
      <c r="AO24" s="26" t="s">
        <v>329</v>
      </c>
      <c r="AP24" s="38" t="s">
        <v>330</v>
      </c>
      <c r="AQ24" s="38" t="s">
        <v>330</v>
      </c>
      <c r="AR24" s="26" t="s">
        <v>331</v>
      </c>
      <c r="AS24" s="26" t="s">
        <v>332</v>
      </c>
      <c r="AW24" s="26" t="s">
        <v>321</v>
      </c>
    </row>
    <row r="25" spans="1:52" s="26" customFormat="1" x14ac:dyDescent="0.2">
      <c r="A25" s="21">
        <v>516</v>
      </c>
      <c r="B25" s="24"/>
      <c r="C25" s="23"/>
      <c r="E25" s="22"/>
      <c r="F25" s="29" t="s">
        <v>333</v>
      </c>
      <c r="G25" s="29" t="s">
        <v>334</v>
      </c>
      <c r="H25" s="24" t="s">
        <v>54</v>
      </c>
      <c r="I25" s="22" t="s">
        <v>89</v>
      </c>
      <c r="J25" s="31"/>
      <c r="L25" s="22" t="s">
        <v>228</v>
      </c>
      <c r="M25" s="23" t="s">
        <v>55</v>
      </c>
      <c r="Q25" s="22" t="s">
        <v>242</v>
      </c>
      <c r="R25" s="23"/>
      <c r="S25" s="22" t="s">
        <v>56</v>
      </c>
      <c r="T25" s="22" t="s">
        <v>75</v>
      </c>
      <c r="U25" s="22"/>
      <c r="V25" s="22"/>
      <c r="W25" s="23" t="s">
        <v>90</v>
      </c>
      <c r="X25" s="23" t="s">
        <v>252</v>
      </c>
      <c r="Y25" s="23"/>
      <c r="Z25" s="23" t="s">
        <v>335</v>
      </c>
      <c r="AA25" s="23"/>
      <c r="AB25" s="23" t="s">
        <v>336</v>
      </c>
      <c r="AC25" s="23" t="s">
        <v>337</v>
      </c>
      <c r="AD25" s="23" t="s">
        <v>338</v>
      </c>
      <c r="AE25" s="23" t="s">
        <v>339</v>
      </c>
      <c r="AF25" s="32" t="s">
        <v>97</v>
      </c>
      <c r="AG25" s="23"/>
      <c r="AH25" s="23"/>
      <c r="AI25" s="23" t="s">
        <v>234</v>
      </c>
      <c r="AJ25" s="23"/>
      <c r="AK25" s="23" t="s">
        <v>340</v>
      </c>
      <c r="AL25" s="23"/>
      <c r="AM25" s="23"/>
      <c r="AN25" s="23"/>
      <c r="AO25" s="23" t="s">
        <v>341</v>
      </c>
      <c r="AP25" s="27" t="s">
        <v>342</v>
      </c>
      <c r="AQ25" s="27" t="s">
        <v>342</v>
      </c>
      <c r="AR25" s="23" t="s">
        <v>343</v>
      </c>
      <c r="AS25" s="23" t="s">
        <v>344</v>
      </c>
      <c r="AT25" s="23" t="s">
        <v>303</v>
      </c>
      <c r="AU25" s="33"/>
      <c r="AV25" s="23"/>
      <c r="AW25" s="23" t="s">
        <v>333</v>
      </c>
      <c r="AX25" s="23" t="s">
        <v>345</v>
      </c>
      <c r="AY25" s="23"/>
      <c r="AZ25" s="23"/>
    </row>
    <row r="26" spans="1:52" s="26" customFormat="1" x14ac:dyDescent="0.2">
      <c r="A26" s="35">
        <v>515</v>
      </c>
      <c r="D26" s="28"/>
      <c r="E26" s="28"/>
      <c r="F26" s="47" t="s">
        <v>346</v>
      </c>
      <c r="G26" s="47" t="s">
        <v>347</v>
      </c>
      <c r="H26" s="25" t="s">
        <v>264</v>
      </c>
      <c r="I26" s="28"/>
      <c r="J26" s="31"/>
      <c r="L26" s="28" t="s">
        <v>228</v>
      </c>
      <c r="M26" s="26" t="s">
        <v>55</v>
      </c>
      <c r="Q26" s="28" t="s">
        <v>242</v>
      </c>
      <c r="S26" s="28" t="s">
        <v>56</v>
      </c>
      <c r="T26" s="28" t="s">
        <v>104</v>
      </c>
      <c r="U26" s="28"/>
      <c r="V26" s="28"/>
      <c r="W26" s="26" t="s">
        <v>90</v>
      </c>
      <c r="X26" s="26" t="s">
        <v>252</v>
      </c>
      <c r="Z26" s="26" t="s">
        <v>335</v>
      </c>
      <c r="AA26" s="28" t="s">
        <v>124</v>
      </c>
      <c r="AB26" s="37" t="s">
        <v>336</v>
      </c>
      <c r="AC26" s="37" t="s">
        <v>337</v>
      </c>
      <c r="AD26" s="26" t="s">
        <v>338</v>
      </c>
      <c r="AE26" s="26" t="s">
        <v>339</v>
      </c>
      <c r="AF26" s="31" t="s">
        <v>97</v>
      </c>
      <c r="AG26" s="26" t="s">
        <v>348</v>
      </c>
      <c r="AI26" s="26" t="s">
        <v>234</v>
      </c>
      <c r="AK26" s="26" t="s">
        <v>349</v>
      </c>
      <c r="AO26" s="26" t="s">
        <v>341</v>
      </c>
      <c r="AP26" s="38" t="s">
        <v>350</v>
      </c>
      <c r="AQ26" s="38" t="s">
        <v>350</v>
      </c>
      <c r="AR26" s="26" t="s">
        <v>351</v>
      </c>
      <c r="AS26" s="26" t="s">
        <v>344</v>
      </c>
      <c r="AT26" s="26" t="s">
        <v>303</v>
      </c>
      <c r="AU26" s="39"/>
      <c r="AW26" s="26" t="s">
        <v>346</v>
      </c>
      <c r="AX26" s="26" t="s">
        <v>345</v>
      </c>
    </row>
    <row r="27" spans="1:52" s="26" customFormat="1" x14ac:dyDescent="0.2">
      <c r="A27" s="21">
        <v>509</v>
      </c>
      <c r="B27" s="23"/>
      <c r="C27" s="23"/>
      <c r="D27" s="28"/>
      <c r="E27" s="22"/>
      <c r="F27" s="34" t="s">
        <v>352</v>
      </c>
      <c r="G27" s="34" t="s">
        <v>353</v>
      </c>
      <c r="H27" s="24" t="s">
        <v>54</v>
      </c>
      <c r="I27" s="22" t="s">
        <v>89</v>
      </c>
      <c r="J27" s="31"/>
      <c r="L27" s="22" t="s">
        <v>228</v>
      </c>
      <c r="M27" s="23" t="s">
        <v>55</v>
      </c>
      <c r="Q27" s="22" t="s">
        <v>242</v>
      </c>
      <c r="R27" s="23"/>
      <c r="S27" s="22" t="s">
        <v>147</v>
      </c>
      <c r="T27" s="22" t="s">
        <v>104</v>
      </c>
      <c r="U27" s="22"/>
      <c r="V27" s="22"/>
      <c r="W27" s="23" t="s">
        <v>90</v>
      </c>
      <c r="X27" s="23" t="s">
        <v>252</v>
      </c>
      <c r="Y27" s="23"/>
      <c r="Z27" s="23" t="s">
        <v>354</v>
      </c>
      <c r="AA27" s="23" t="s">
        <v>107</v>
      </c>
      <c r="AB27" s="23">
        <v>10.86069</v>
      </c>
      <c r="AC27" s="23">
        <v>-85.425579999999997</v>
      </c>
      <c r="AD27" s="23">
        <v>10.86069</v>
      </c>
      <c r="AE27" s="23">
        <v>-85.425579999999997</v>
      </c>
      <c r="AF27" s="32" t="s">
        <v>97</v>
      </c>
      <c r="AG27" s="23" t="s">
        <v>355</v>
      </c>
      <c r="AH27" s="23"/>
      <c r="AI27" s="23" t="s">
        <v>234</v>
      </c>
      <c r="AJ27" s="23"/>
      <c r="AK27" s="23" t="s">
        <v>356</v>
      </c>
      <c r="AL27" s="23"/>
      <c r="AM27" s="23"/>
      <c r="AN27" s="23"/>
      <c r="AO27" s="23" t="s">
        <v>357</v>
      </c>
      <c r="AP27" s="27" t="s">
        <v>358</v>
      </c>
      <c r="AQ27" s="27" t="s">
        <v>358</v>
      </c>
      <c r="AR27" s="23" t="s">
        <v>359</v>
      </c>
      <c r="AS27" s="23" t="s">
        <v>360</v>
      </c>
      <c r="AT27" s="23" t="s">
        <v>303</v>
      </c>
      <c r="AU27" s="33"/>
      <c r="AV27" s="23"/>
      <c r="AW27" s="23" t="s">
        <v>352</v>
      </c>
      <c r="AX27" s="23" t="s">
        <v>361</v>
      </c>
      <c r="AY27" s="23"/>
      <c r="AZ27" s="23"/>
    </row>
    <row r="28" spans="1:52" s="26" customFormat="1" x14ac:dyDescent="0.2">
      <c r="A28" s="35">
        <v>508</v>
      </c>
      <c r="D28" s="28"/>
      <c r="E28" s="28"/>
      <c r="F28" s="47" t="s">
        <v>362</v>
      </c>
      <c r="G28" s="47" t="s">
        <v>363</v>
      </c>
      <c r="H28" s="25" t="s">
        <v>264</v>
      </c>
      <c r="I28" s="28"/>
      <c r="J28" s="31"/>
      <c r="L28" s="28" t="s">
        <v>228</v>
      </c>
      <c r="M28" s="26" t="s">
        <v>55</v>
      </c>
      <c r="Q28" s="28" t="s">
        <v>242</v>
      </c>
      <c r="S28" s="28" t="s">
        <v>56</v>
      </c>
      <c r="T28" s="28" t="s">
        <v>104</v>
      </c>
      <c r="U28" s="28"/>
      <c r="V28" s="28"/>
      <c r="W28" s="26" t="s">
        <v>90</v>
      </c>
      <c r="X28" s="26" t="s">
        <v>252</v>
      </c>
      <c r="Z28" s="26" t="s">
        <v>364</v>
      </c>
      <c r="AA28" s="28" t="s">
        <v>124</v>
      </c>
      <c r="AB28" s="37" t="s">
        <v>365</v>
      </c>
      <c r="AC28" s="37" t="s">
        <v>366</v>
      </c>
      <c r="AD28" s="26" t="s">
        <v>367</v>
      </c>
      <c r="AE28" s="26" t="s">
        <v>368</v>
      </c>
      <c r="AF28" s="31" t="s">
        <v>97</v>
      </c>
      <c r="AG28" s="26" t="s">
        <v>348</v>
      </c>
      <c r="AI28" s="26" t="s">
        <v>234</v>
      </c>
      <c r="AK28" s="26" t="s">
        <v>369</v>
      </c>
      <c r="AO28" s="26" t="s">
        <v>357</v>
      </c>
      <c r="AP28" s="38">
        <v>40636</v>
      </c>
      <c r="AQ28" s="38">
        <v>40636</v>
      </c>
      <c r="AR28" s="26" t="s">
        <v>370</v>
      </c>
      <c r="AS28" s="26" t="s">
        <v>283</v>
      </c>
      <c r="AT28" s="26" t="s">
        <v>303</v>
      </c>
      <c r="AU28" s="39"/>
      <c r="AW28" s="26" t="s">
        <v>362</v>
      </c>
      <c r="AX28" s="26" t="s">
        <v>371</v>
      </c>
    </row>
    <row r="29" spans="1:52" s="26" customFormat="1" x14ac:dyDescent="0.2">
      <c r="A29" s="21">
        <v>507</v>
      </c>
      <c r="B29" s="23" t="s">
        <v>372</v>
      </c>
      <c r="E29" s="23" t="s">
        <v>184</v>
      </c>
      <c r="F29" s="34" t="s">
        <v>373</v>
      </c>
      <c r="G29" s="34" t="s">
        <v>374</v>
      </c>
      <c r="H29" s="36" t="s">
        <v>120</v>
      </c>
      <c r="I29" s="22" t="s">
        <v>375</v>
      </c>
      <c r="J29" s="31"/>
      <c r="L29" s="22" t="s">
        <v>228</v>
      </c>
      <c r="M29" s="23" t="s">
        <v>55</v>
      </c>
      <c r="Q29" s="22" t="s">
        <v>242</v>
      </c>
      <c r="R29" s="23"/>
      <c r="S29" s="22" t="s">
        <v>147</v>
      </c>
      <c r="T29" s="22" t="s">
        <v>75</v>
      </c>
      <c r="U29" s="22"/>
      <c r="V29" s="22"/>
      <c r="W29" s="23" t="s">
        <v>90</v>
      </c>
      <c r="X29" s="23" t="s">
        <v>252</v>
      </c>
      <c r="Y29" s="23"/>
      <c r="Z29" s="23" t="s">
        <v>354</v>
      </c>
      <c r="AA29" s="23" t="s">
        <v>107</v>
      </c>
      <c r="AB29" s="23">
        <v>10.86069</v>
      </c>
      <c r="AC29" s="23">
        <v>-85.425579999999997</v>
      </c>
      <c r="AD29" s="23">
        <v>10.86069</v>
      </c>
      <c r="AE29" s="23">
        <v>-85.425579999999997</v>
      </c>
      <c r="AF29" s="32" t="s">
        <v>97</v>
      </c>
      <c r="AG29" s="23" t="s">
        <v>376</v>
      </c>
      <c r="AH29" s="23"/>
      <c r="AI29" s="23" t="s">
        <v>234</v>
      </c>
      <c r="AJ29" s="23"/>
      <c r="AK29" s="23" t="s">
        <v>356</v>
      </c>
      <c r="AL29" s="23"/>
      <c r="AM29" s="23"/>
      <c r="AN29" s="23"/>
      <c r="AO29" s="23" t="s">
        <v>357</v>
      </c>
      <c r="AP29" s="27" t="s">
        <v>358</v>
      </c>
      <c r="AQ29" s="27" t="s">
        <v>358</v>
      </c>
      <c r="AR29" s="23" t="s">
        <v>359</v>
      </c>
      <c r="AS29" s="23" t="s">
        <v>360</v>
      </c>
      <c r="AT29" s="23" t="s">
        <v>303</v>
      </c>
      <c r="AU29" s="33"/>
      <c r="AV29" s="23"/>
      <c r="AW29" s="23" t="s">
        <v>373</v>
      </c>
      <c r="AX29" s="23" t="s">
        <v>361</v>
      </c>
      <c r="AY29" s="23"/>
      <c r="AZ29" s="23"/>
    </row>
    <row r="30" spans="1:52" s="26" customFormat="1" x14ac:dyDescent="0.2">
      <c r="A30" s="35">
        <v>506</v>
      </c>
      <c r="D30" s="28"/>
      <c r="E30" s="28"/>
      <c r="F30" s="47" t="s">
        <v>377</v>
      </c>
      <c r="G30" s="47" t="s">
        <v>378</v>
      </c>
      <c r="H30" s="25" t="s">
        <v>264</v>
      </c>
      <c r="I30" s="28"/>
      <c r="J30" s="31"/>
      <c r="L30" s="28" t="s">
        <v>228</v>
      </c>
      <c r="M30" s="26" t="s">
        <v>55</v>
      </c>
      <c r="Q30" s="28" t="s">
        <v>242</v>
      </c>
      <c r="S30" s="28" t="s">
        <v>56</v>
      </c>
      <c r="T30" s="28" t="s">
        <v>104</v>
      </c>
      <c r="U30" s="28"/>
      <c r="V30" s="28"/>
      <c r="W30" s="26" t="s">
        <v>90</v>
      </c>
      <c r="X30" s="26" t="s">
        <v>252</v>
      </c>
      <c r="Z30" s="26" t="s">
        <v>364</v>
      </c>
      <c r="AA30" s="28" t="s">
        <v>124</v>
      </c>
      <c r="AB30" s="37" t="s">
        <v>365</v>
      </c>
      <c r="AC30" s="37" t="s">
        <v>366</v>
      </c>
      <c r="AD30" s="26" t="s">
        <v>367</v>
      </c>
      <c r="AE30" s="26" t="s">
        <v>368</v>
      </c>
      <c r="AF30" s="31" t="s">
        <v>97</v>
      </c>
      <c r="AG30" s="26" t="s">
        <v>348</v>
      </c>
      <c r="AI30" s="26" t="s">
        <v>234</v>
      </c>
      <c r="AK30" s="26" t="s">
        <v>379</v>
      </c>
      <c r="AO30" s="26" t="s">
        <v>357</v>
      </c>
      <c r="AP30" s="38" t="s">
        <v>380</v>
      </c>
      <c r="AQ30" s="38" t="s">
        <v>380</v>
      </c>
      <c r="AR30" s="26" t="s">
        <v>381</v>
      </c>
      <c r="AS30" s="26" t="s">
        <v>283</v>
      </c>
      <c r="AT30" s="26" t="s">
        <v>303</v>
      </c>
      <c r="AU30" s="39"/>
      <c r="AW30" s="26" t="s">
        <v>377</v>
      </c>
      <c r="AX30" s="26" t="s">
        <v>371</v>
      </c>
    </row>
    <row r="31" spans="1:52" s="26" customFormat="1" x14ac:dyDescent="0.2">
      <c r="A31" s="35">
        <v>505</v>
      </c>
      <c r="D31" s="28"/>
      <c r="E31" s="28"/>
      <c r="F31" s="36" t="s">
        <v>382</v>
      </c>
      <c r="G31" s="36" t="s">
        <v>383</v>
      </c>
      <c r="H31" s="25" t="s">
        <v>264</v>
      </c>
      <c r="I31" s="28" t="s">
        <v>89</v>
      </c>
      <c r="J31" s="31"/>
      <c r="L31" s="28" t="s">
        <v>228</v>
      </c>
      <c r="M31" s="26" t="s">
        <v>55</v>
      </c>
      <c r="Q31" s="28" t="s">
        <v>242</v>
      </c>
      <c r="S31" s="28" t="s">
        <v>56</v>
      </c>
      <c r="T31" s="28" t="s">
        <v>104</v>
      </c>
      <c r="U31" s="28"/>
      <c r="V31" s="44" t="s">
        <v>178</v>
      </c>
      <c r="W31" s="26" t="s">
        <v>90</v>
      </c>
      <c r="X31" s="26" t="s">
        <v>252</v>
      </c>
      <c r="Z31" s="26" t="s">
        <v>354</v>
      </c>
      <c r="AA31" s="45" t="s">
        <v>107</v>
      </c>
      <c r="AB31" s="45">
        <v>10.86069</v>
      </c>
      <c r="AC31" s="45">
        <v>-85.425579999999997</v>
      </c>
      <c r="AD31" s="45">
        <v>10.86069</v>
      </c>
      <c r="AE31" s="45">
        <v>-85.425579999999997</v>
      </c>
      <c r="AF31" s="31" t="s">
        <v>97</v>
      </c>
      <c r="AG31" s="26" t="s">
        <v>384</v>
      </c>
      <c r="AI31" s="26" t="s">
        <v>234</v>
      </c>
      <c r="AK31" s="26" t="s">
        <v>385</v>
      </c>
      <c r="AO31" s="26" t="s">
        <v>357</v>
      </c>
      <c r="AP31" s="38">
        <v>40640</v>
      </c>
      <c r="AQ31" s="38">
        <v>40640</v>
      </c>
      <c r="AR31" s="26" t="s">
        <v>386</v>
      </c>
      <c r="AS31" s="26" t="s">
        <v>283</v>
      </c>
      <c r="AT31" s="26" t="s">
        <v>303</v>
      </c>
      <c r="AU31" s="39"/>
      <c r="AW31" s="26" t="s">
        <v>382</v>
      </c>
      <c r="AX31" s="26" t="s">
        <v>371</v>
      </c>
    </row>
    <row r="32" spans="1:52" s="26" customFormat="1" x14ac:dyDescent="0.2">
      <c r="A32" s="35">
        <v>491</v>
      </c>
      <c r="D32" s="28"/>
      <c r="E32" s="28"/>
      <c r="F32" s="47" t="s">
        <v>387</v>
      </c>
      <c r="G32" s="47" t="s">
        <v>388</v>
      </c>
      <c r="H32" s="25" t="s">
        <v>264</v>
      </c>
      <c r="I32" s="28"/>
      <c r="J32" s="31"/>
      <c r="L32" s="28" t="s">
        <v>228</v>
      </c>
      <c r="M32" s="26" t="s">
        <v>55</v>
      </c>
      <c r="Q32" s="28" t="s">
        <v>242</v>
      </c>
      <c r="S32" s="28" t="s">
        <v>56</v>
      </c>
      <c r="T32" s="28" t="s">
        <v>104</v>
      </c>
      <c r="U32" s="28"/>
      <c r="V32" s="28"/>
      <c r="W32" s="26" t="s">
        <v>90</v>
      </c>
      <c r="X32" s="26" t="s">
        <v>252</v>
      </c>
      <c r="Z32" s="26" t="s">
        <v>389</v>
      </c>
      <c r="AA32" s="28" t="s">
        <v>124</v>
      </c>
      <c r="AB32" s="37" t="s">
        <v>390</v>
      </c>
      <c r="AC32" s="37" t="s">
        <v>391</v>
      </c>
      <c r="AD32" s="26" t="s">
        <v>392</v>
      </c>
      <c r="AE32" s="26" t="s">
        <v>393</v>
      </c>
      <c r="AF32" s="31" t="s">
        <v>97</v>
      </c>
      <c r="AG32" s="26" t="s">
        <v>348</v>
      </c>
      <c r="AI32" s="26" t="s">
        <v>234</v>
      </c>
      <c r="AK32" s="26" t="s">
        <v>394</v>
      </c>
      <c r="AO32" s="26" t="s">
        <v>236</v>
      </c>
      <c r="AP32" s="38" t="s">
        <v>395</v>
      </c>
      <c r="AQ32" s="38" t="s">
        <v>395</v>
      </c>
      <c r="AR32" s="26" t="s">
        <v>396</v>
      </c>
      <c r="AS32" s="26" t="s">
        <v>397</v>
      </c>
      <c r="AT32" s="26" t="s">
        <v>303</v>
      </c>
      <c r="AU32" s="39"/>
      <c r="AW32" s="26" t="s">
        <v>387</v>
      </c>
      <c r="AX32" s="26" t="s">
        <v>398</v>
      </c>
    </row>
    <row r="33" spans="1:53" s="26" customFormat="1" x14ac:dyDescent="0.2">
      <c r="A33" s="35">
        <v>489</v>
      </c>
      <c r="C33" s="25"/>
      <c r="D33" s="28"/>
      <c r="E33" s="28"/>
      <c r="F33" s="36" t="s">
        <v>399</v>
      </c>
      <c r="G33" s="36" t="s">
        <v>400</v>
      </c>
      <c r="H33" s="25" t="s">
        <v>264</v>
      </c>
      <c r="I33" s="28" t="s">
        <v>265</v>
      </c>
      <c r="J33" s="31"/>
      <c r="L33" s="28" t="s">
        <v>228</v>
      </c>
      <c r="M33" s="26" t="s">
        <v>55</v>
      </c>
      <c r="Q33" s="28" t="s">
        <v>242</v>
      </c>
      <c r="S33" s="28" t="s">
        <v>56</v>
      </c>
      <c r="T33" s="28" t="s">
        <v>75</v>
      </c>
      <c r="U33" s="28"/>
      <c r="V33" s="28"/>
      <c r="W33" s="26" t="s">
        <v>90</v>
      </c>
      <c r="X33" s="26" t="s">
        <v>252</v>
      </c>
      <c r="Z33" s="26" t="s">
        <v>231</v>
      </c>
      <c r="AA33" s="45" t="s">
        <v>107</v>
      </c>
      <c r="AB33" s="45">
        <v>10.89678</v>
      </c>
      <c r="AC33" s="45">
        <v>-85.270009999999999</v>
      </c>
      <c r="AD33" s="45">
        <v>10.89678</v>
      </c>
      <c r="AE33" s="45">
        <v>-85.270009999999999</v>
      </c>
      <c r="AF33" s="31" t="s">
        <v>97</v>
      </c>
      <c r="AG33" s="26" t="s">
        <v>348</v>
      </c>
      <c r="AI33" s="26" t="s">
        <v>234</v>
      </c>
      <c r="AK33" s="26" t="s">
        <v>401</v>
      </c>
      <c r="AO33" s="26" t="s">
        <v>236</v>
      </c>
      <c r="AP33" s="38" t="s">
        <v>402</v>
      </c>
      <c r="AQ33" s="38" t="s">
        <v>402</v>
      </c>
      <c r="AR33" s="26" t="s">
        <v>403</v>
      </c>
      <c r="AS33" s="26" t="s">
        <v>404</v>
      </c>
      <c r="AT33" s="26" t="s">
        <v>303</v>
      </c>
      <c r="AU33" s="39"/>
      <c r="AW33" s="26" t="s">
        <v>399</v>
      </c>
      <c r="AX33" s="26" t="s">
        <v>398</v>
      </c>
      <c r="BA33" s="25"/>
    </row>
    <row r="34" spans="1:53" s="26" customFormat="1" x14ac:dyDescent="0.2">
      <c r="A34" s="35">
        <v>487</v>
      </c>
      <c r="C34" s="25"/>
      <c r="D34" s="28"/>
      <c r="E34" s="28"/>
      <c r="F34" s="36" t="s">
        <v>405</v>
      </c>
      <c r="G34" s="36" t="s">
        <v>406</v>
      </c>
      <c r="H34" s="25" t="s">
        <v>264</v>
      </c>
      <c r="I34" s="28"/>
      <c r="J34" s="31"/>
      <c r="L34" s="28" t="s">
        <v>228</v>
      </c>
      <c r="M34" s="26" t="s">
        <v>55</v>
      </c>
      <c r="Q34" s="28" t="s">
        <v>242</v>
      </c>
      <c r="S34" s="28" t="s">
        <v>56</v>
      </c>
      <c r="T34" s="28" t="s">
        <v>104</v>
      </c>
      <c r="U34" s="28"/>
      <c r="V34" s="44" t="s">
        <v>178</v>
      </c>
      <c r="W34" s="26" t="s">
        <v>90</v>
      </c>
      <c r="X34" s="26" t="s">
        <v>252</v>
      </c>
      <c r="Z34" s="26" t="s">
        <v>231</v>
      </c>
      <c r="AA34" s="45" t="s">
        <v>107</v>
      </c>
      <c r="AB34" s="45">
        <v>10.89678</v>
      </c>
      <c r="AC34" s="45">
        <v>-85.270009999999999</v>
      </c>
      <c r="AD34" s="45">
        <v>10.89678</v>
      </c>
      <c r="AE34" s="45">
        <v>-85.270009999999999</v>
      </c>
      <c r="AF34" s="31" t="s">
        <v>97</v>
      </c>
      <c r="AG34" s="26" t="s">
        <v>407</v>
      </c>
      <c r="AI34" s="26" t="s">
        <v>234</v>
      </c>
      <c r="AK34" s="26" t="s">
        <v>408</v>
      </c>
      <c r="AO34" s="26" t="s">
        <v>236</v>
      </c>
      <c r="AP34" s="38" t="s">
        <v>409</v>
      </c>
      <c r="AQ34" s="38" t="s">
        <v>409</v>
      </c>
      <c r="AR34" s="26" t="s">
        <v>410</v>
      </c>
      <c r="AS34" s="26" t="s">
        <v>404</v>
      </c>
      <c r="AT34" s="26" t="s">
        <v>303</v>
      </c>
      <c r="AU34" s="39"/>
      <c r="AW34" s="26" t="s">
        <v>405</v>
      </c>
      <c r="AX34" s="26" t="s">
        <v>398</v>
      </c>
    </row>
    <row r="35" spans="1:53" s="26" customFormat="1" x14ac:dyDescent="0.2">
      <c r="A35" s="35">
        <v>486</v>
      </c>
      <c r="C35" s="25"/>
      <c r="D35" s="28"/>
      <c r="E35" s="28"/>
      <c r="F35" s="36" t="s">
        <v>411</v>
      </c>
      <c r="G35" s="36" t="s">
        <v>412</v>
      </c>
      <c r="H35" s="25" t="s">
        <v>264</v>
      </c>
      <c r="I35" s="28" t="s">
        <v>89</v>
      </c>
      <c r="J35" s="31"/>
      <c r="L35" s="28" t="s">
        <v>228</v>
      </c>
      <c r="M35" s="26" t="s">
        <v>55</v>
      </c>
      <c r="Q35" s="28" t="s">
        <v>242</v>
      </c>
      <c r="S35" s="28" t="s">
        <v>56</v>
      </c>
      <c r="T35" s="28" t="s">
        <v>75</v>
      </c>
      <c r="U35" s="28"/>
      <c r="V35" s="28"/>
      <c r="W35" s="26" t="s">
        <v>90</v>
      </c>
      <c r="X35" s="26" t="s">
        <v>252</v>
      </c>
      <c r="Z35" s="26" t="s">
        <v>231</v>
      </c>
      <c r="AA35" s="45" t="s">
        <v>107</v>
      </c>
      <c r="AB35" s="45">
        <v>10.89678</v>
      </c>
      <c r="AC35" s="45">
        <v>-85.270009999999999</v>
      </c>
      <c r="AD35" s="45">
        <v>10.89678</v>
      </c>
      <c r="AE35" s="45">
        <v>-85.270009999999999</v>
      </c>
      <c r="AF35" s="31" t="s">
        <v>97</v>
      </c>
      <c r="AG35" s="26" t="s">
        <v>413</v>
      </c>
      <c r="AI35" s="26" t="s">
        <v>234</v>
      </c>
      <c r="AK35" s="26" t="s">
        <v>414</v>
      </c>
      <c r="AO35" s="26" t="s">
        <v>236</v>
      </c>
      <c r="AP35" s="38">
        <v>40318</v>
      </c>
      <c r="AQ35" s="38" t="s">
        <v>415</v>
      </c>
      <c r="AR35" s="26" t="s">
        <v>416</v>
      </c>
      <c r="AS35" s="26" t="s">
        <v>404</v>
      </c>
      <c r="AT35" s="26" t="s">
        <v>303</v>
      </c>
      <c r="AU35" s="39"/>
      <c r="AW35" s="26" t="s">
        <v>411</v>
      </c>
      <c r="AX35" s="26" t="s">
        <v>398</v>
      </c>
    </row>
    <row r="36" spans="1:53" s="25" customFormat="1" x14ac:dyDescent="0.2">
      <c r="A36" s="35">
        <v>485</v>
      </c>
      <c r="B36" s="26"/>
      <c r="D36" s="28"/>
      <c r="E36" s="28"/>
      <c r="F36" s="36" t="s">
        <v>417</v>
      </c>
      <c r="G36" s="36" t="s">
        <v>418</v>
      </c>
      <c r="H36" s="25" t="s">
        <v>264</v>
      </c>
      <c r="I36" s="28"/>
      <c r="J36" s="31"/>
      <c r="K36" s="26"/>
      <c r="L36" s="28" t="s">
        <v>228</v>
      </c>
      <c r="M36" s="26" t="s">
        <v>55</v>
      </c>
      <c r="N36" s="26"/>
      <c r="O36" s="26"/>
      <c r="P36" s="26"/>
      <c r="Q36" s="28" t="s">
        <v>242</v>
      </c>
      <c r="R36" s="26"/>
      <c r="S36" s="28" t="s">
        <v>56</v>
      </c>
      <c r="T36" s="28" t="s">
        <v>104</v>
      </c>
      <c r="U36" s="28"/>
      <c r="V36" s="28"/>
      <c r="W36" s="26" t="s">
        <v>90</v>
      </c>
      <c r="X36" s="26" t="s">
        <v>252</v>
      </c>
      <c r="Y36" s="26"/>
      <c r="Z36" s="26" t="s">
        <v>231</v>
      </c>
      <c r="AA36" s="45" t="s">
        <v>107</v>
      </c>
      <c r="AB36" s="45">
        <v>10.89678</v>
      </c>
      <c r="AC36" s="45">
        <v>-85.270009999999999</v>
      </c>
      <c r="AD36" s="45">
        <v>10.89678</v>
      </c>
      <c r="AE36" s="45">
        <v>-85.270009999999999</v>
      </c>
      <c r="AF36" s="31" t="s">
        <v>97</v>
      </c>
      <c r="AG36" s="26" t="s">
        <v>348</v>
      </c>
      <c r="AH36" s="26"/>
      <c r="AI36" s="26" t="s">
        <v>234</v>
      </c>
      <c r="AJ36" s="26"/>
      <c r="AK36" s="26" t="s">
        <v>419</v>
      </c>
      <c r="AL36" s="26"/>
      <c r="AM36" s="26"/>
      <c r="AN36" s="26"/>
      <c r="AO36" s="26" t="s">
        <v>236</v>
      </c>
      <c r="AP36" s="38" t="s">
        <v>420</v>
      </c>
      <c r="AQ36" s="38" t="s">
        <v>420</v>
      </c>
      <c r="AR36" s="26" t="s">
        <v>421</v>
      </c>
      <c r="AS36" s="26" t="s">
        <v>404</v>
      </c>
      <c r="AT36" s="26" t="s">
        <v>303</v>
      </c>
      <c r="AU36" s="39"/>
      <c r="AV36" s="26"/>
      <c r="AW36" s="26" t="s">
        <v>417</v>
      </c>
      <c r="AX36" s="26" t="s">
        <v>422</v>
      </c>
      <c r="AY36" s="26"/>
      <c r="AZ36" s="26"/>
      <c r="BA36" s="26"/>
    </row>
    <row r="37" spans="1:53" s="26" customFormat="1" x14ac:dyDescent="0.2">
      <c r="A37" s="35">
        <v>459</v>
      </c>
      <c r="D37" s="28"/>
      <c r="E37" s="28"/>
      <c r="F37" s="36" t="s">
        <v>423</v>
      </c>
      <c r="G37" s="36" t="s">
        <v>424</v>
      </c>
      <c r="H37" s="25" t="s">
        <v>264</v>
      </c>
      <c r="I37" s="28" t="s">
        <v>89</v>
      </c>
      <c r="J37" s="31"/>
      <c r="L37" s="28" t="s">
        <v>228</v>
      </c>
      <c r="M37" s="26" t="s">
        <v>55</v>
      </c>
      <c r="Q37" s="28" t="s">
        <v>242</v>
      </c>
      <c r="S37" s="28" t="s">
        <v>56</v>
      </c>
      <c r="T37" s="28" t="s">
        <v>75</v>
      </c>
      <c r="U37" s="28"/>
      <c r="V37" s="28"/>
      <c r="W37" s="26" t="s">
        <v>90</v>
      </c>
      <c r="X37" s="26" t="s">
        <v>230</v>
      </c>
      <c r="Z37" s="26" t="s">
        <v>425</v>
      </c>
      <c r="AA37" s="45" t="s">
        <v>107</v>
      </c>
      <c r="AB37" s="45">
        <v>11.00217</v>
      </c>
      <c r="AC37" s="45">
        <v>-85.463369999999998</v>
      </c>
      <c r="AD37" s="45">
        <v>11.00217</v>
      </c>
      <c r="AE37" s="45">
        <v>-85.463369999999998</v>
      </c>
      <c r="AF37" s="31" t="s">
        <v>97</v>
      </c>
      <c r="AG37" s="26" t="s">
        <v>426</v>
      </c>
      <c r="AI37" s="26" t="s">
        <v>234</v>
      </c>
      <c r="AK37" s="26" t="s">
        <v>427</v>
      </c>
      <c r="AO37" s="26" t="s">
        <v>428</v>
      </c>
      <c r="AP37" s="38" t="s">
        <v>429</v>
      </c>
      <c r="AQ37" s="38" t="s">
        <v>429</v>
      </c>
      <c r="AR37" s="26" t="s">
        <v>430</v>
      </c>
      <c r="AS37" s="26" t="s">
        <v>431</v>
      </c>
      <c r="AT37" s="26" t="s">
        <v>303</v>
      </c>
      <c r="AW37" s="26" t="s">
        <v>423</v>
      </c>
      <c r="AX37" s="26" t="s">
        <v>432</v>
      </c>
    </row>
    <row r="38" spans="1:53" s="26" customFormat="1" x14ac:dyDescent="0.2">
      <c r="A38" s="49"/>
      <c r="O38" s="45"/>
      <c r="P38" s="45"/>
      <c r="Q38" s="28"/>
      <c r="S38" s="25"/>
      <c r="AA38" s="25"/>
      <c r="AP38" s="38"/>
      <c r="AQ38" s="38"/>
    </row>
  </sheetData>
  <conditionalFormatting sqref="G1:G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Darling</dc:creator>
  <cp:lastModifiedBy>Darling, Emily</cp:lastModifiedBy>
  <dcterms:created xsi:type="dcterms:W3CDTF">2026-02-17T16:43:30Z</dcterms:created>
  <dcterms:modified xsi:type="dcterms:W3CDTF">2026-03-13T23:17:44Z</dcterms:modified>
</cp:coreProperties>
</file>